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Bar" sheetId="2" state="visible" r:id="rId2"/>
    <sheet xmlns:r="http://schemas.openxmlformats.org/officeDocument/2006/relationships" name="Resta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&quot;"/>
  </numFmts>
  <fonts count="9">
    <font>
      <name val="Calibri"/>
      <family val="2"/>
      <color theme="1"/>
      <sz val="11"/>
      <scheme val="minor"/>
    </font>
    <font>
      <name val="Arial"/>
      <b val="1"/>
      <color rgb="003A2A25"/>
      <sz val="16"/>
    </font>
    <font>
      <name val="Arial"/>
      <i val="1"/>
      <color rgb="006E625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A2A25"/>
      <sz val="18"/>
    </font>
    <font>
      <name val="Arial"/>
      <b val="1"/>
      <color rgb="00C15B3F"/>
      <sz val="12"/>
    </font>
    <font>
      <name val="Arial"/>
      <b val="1"/>
      <color rgb="003A2A25"/>
      <sz val="12"/>
    </font>
    <font>
      <name val="Arial"/>
      <color rgb="004A3730"/>
      <sz val="11"/>
    </font>
  </fonts>
  <fills count="5">
    <fill>
      <patternFill/>
    </fill>
    <fill>
      <patternFill patternType="gray125"/>
    </fill>
    <fill>
      <patternFill patternType="solid">
        <fgColor rgb="003A2A25"/>
      </patternFill>
    </fill>
    <fill>
      <patternFill patternType="solid">
        <fgColor rgb="00FFF2CC"/>
      </patternFill>
    </fill>
    <fill>
      <patternFill patternType="solid">
        <fgColor rgb="006E8B74"/>
      </patternFill>
    </fill>
  </fills>
  <borders count="2">
    <border>
      <left/>
      <right/>
      <top/>
      <bottom/>
      <diagonal/>
    </border>
    <border>
      <left style="thin">
        <color rgb="00D8CEC4"/>
      </left>
      <right style="thin">
        <color rgb="00D8CEC4"/>
      </right>
      <top style="thin">
        <color rgb="00D8CEC4"/>
      </top>
      <bottom style="thin">
        <color rgb="00D8CEC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RestoGest — Catalogue &amp; stock</t>
        </is>
      </c>
    </row>
    <row r="3">
      <c r="B3" s="2" t="inlineStr">
        <is>
          <t>Bar et restauration</t>
        </is>
      </c>
    </row>
    <row r="5">
      <c r="B5" s="3" t="inlineStr">
        <is>
          <t>Comment ça marche</t>
        </is>
      </c>
    </row>
    <row r="6">
      <c r="B6" s="4" t="inlineStr">
        <is>
          <t>Cellules en JAUNE = à remplir par vous. Les autres se calculent ou sont fixes.</t>
        </is>
      </c>
    </row>
    <row r="7">
      <c r="B7" s="4" t="inlineStr"/>
    </row>
    <row r="8">
      <c r="B8" s="3" t="inlineStr">
        <is>
          <t>Feuille « Bar »</t>
        </is>
      </c>
    </row>
    <row r="9">
      <c r="B9" s="4" t="inlineStr">
        <is>
          <t>• Prix standard : déjà pré-rempli pour chaque boisson.</t>
        </is>
      </c>
    </row>
    <row r="10">
      <c r="B10" s="4" t="inlineStr">
        <is>
          <t>• Prix appliqué : reprend le prix standard par défaut ; écrivez dessus pour le changer.</t>
        </is>
      </c>
    </row>
    <row r="11">
      <c r="B11" s="4" t="inlineStr">
        <is>
          <t>• Stockage : entrez le « Stock départ », puis les « Entrées (+) » à chaque réapprovisionnement.</t>
        </is>
      </c>
    </row>
    <row r="12">
      <c r="B12" s="4" t="inlineStr">
        <is>
          <t>• Déstockage : les « Sorties ventes » et « Sorties casse/perte » diminuent le stock.</t>
        </is>
      </c>
    </row>
    <row r="13">
      <c r="B13" s="4" t="inlineStr">
        <is>
          <t>• Stock restant = Stock départ + Entrées − Sorties. Calculé automatiquement.</t>
        </is>
      </c>
    </row>
    <row r="14">
      <c r="B14" s="4" t="inlineStr">
        <is>
          <t>• État : passe à « Bas » puis « Rupture » selon le seuil d'alerte (12 par défaut, modifiable).</t>
        </is>
      </c>
    </row>
    <row r="15">
      <c r="B15" s="4" t="inlineStr"/>
    </row>
    <row r="16">
      <c r="B16" s="3" t="inlineStr">
        <is>
          <t>Feuille « Restauration »</t>
        </is>
      </c>
    </row>
    <row r="17">
      <c r="B17" s="4" t="inlineStr">
        <is>
          <t>• Les plats n'ont PAS de prix standard : le prix est saisi à chaque commande.</t>
        </is>
      </c>
    </row>
    <row r="18">
      <c r="B18" s="4" t="inlineStr">
        <is>
          <t>• Colonne Photo : mettez le nom du fichier photo ou un lien.</t>
        </is>
      </c>
    </row>
    <row r="19">
      <c r="B19" s="4" t="inlineStr"/>
    </row>
    <row r="20">
      <c r="B20" s="3" t="inlineStr">
        <is>
          <t>À noter</t>
        </is>
      </c>
    </row>
    <row r="21">
      <c r="B21" s="4" t="inlineStr">
        <is>
          <t>Les catégories du bar (Bière, Sucrerie, Eau, Énergisante…) sont des suggestions modifiables.</t>
        </is>
      </c>
    </row>
    <row r="22">
      <c r="B22" s="4" t="inlineStr">
        <is>
          <t>Exemple de ligne remplie : Castel | Bière | 700 | 700 | 48 | 24 | 30 | 0 | 42 | 12 |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5" customWidth="1" min="4" max="4"/>
    <col width="15" customWidth="1" min="5" max="5"/>
    <col width="11" customWidth="1" min="6" max="6"/>
    <col width="11" customWidth="1" min="7" max="7"/>
    <col width="13" customWidth="1" min="8" max="8"/>
    <col width="15" customWidth="1" min="9" max="9"/>
    <col width="12" customWidth="1" min="10" max="10"/>
    <col width="11" customWidth="1" min="11" max="11"/>
    <col width="10" customWidth="1" min="12" max="12"/>
  </cols>
  <sheetData>
    <row r="1">
      <c r="A1" s="5" t="inlineStr">
        <is>
          <t>Catalogue &amp; stock — BAR</t>
        </is>
      </c>
    </row>
    <row r="2">
      <c r="A2" s="6" t="inlineStr">
        <is>
          <t>Prix standard pré-remplis (modifiables). Colonnes en jaune = à remplir chaque jour. Le stock restant se calcule tout seul.</t>
        </is>
      </c>
    </row>
    <row r="4">
      <c r="A4" s="7" t="inlineStr">
        <is>
          <t>N°</t>
        </is>
      </c>
      <c r="B4" s="7" t="inlineStr">
        <is>
          <t>Produit</t>
        </is>
      </c>
      <c r="C4" s="7" t="inlineStr">
        <is>
          <t>Catégorie</t>
        </is>
      </c>
      <c r="D4" s="7" t="inlineStr">
        <is>
          <t>Prix standard (FCFA)</t>
        </is>
      </c>
      <c r="E4" s="7" t="inlineStr">
        <is>
          <t>Prix appliqué (FCFA)</t>
        </is>
      </c>
      <c r="F4" s="7" t="inlineStr">
        <is>
          <t>Stock départ</t>
        </is>
      </c>
      <c r="G4" s="7" t="inlineStr">
        <is>
          <t>Entrées (+)</t>
        </is>
      </c>
      <c r="H4" s="7" t="inlineStr">
        <is>
          <t>Sorties ventes (−)</t>
        </is>
      </c>
      <c r="I4" s="7" t="inlineStr">
        <is>
          <t>Sorties casse/perte (−)</t>
        </is>
      </c>
      <c r="J4" s="7" t="inlineStr">
        <is>
          <t>Stock restant</t>
        </is>
      </c>
      <c r="K4" s="7" t="inlineStr">
        <is>
          <t>Seuil alerte</t>
        </is>
      </c>
      <c r="L4" s="7" t="inlineStr">
        <is>
          <t>État</t>
        </is>
      </c>
    </row>
    <row r="5">
      <c r="A5" s="8" t="n">
        <v>1</v>
      </c>
      <c r="B5" s="9" t="inlineStr">
        <is>
          <t>Pils</t>
        </is>
      </c>
      <c r="C5" s="9" t="inlineStr">
        <is>
          <t>Bière</t>
        </is>
      </c>
      <c r="D5" s="10" t="n">
        <v>700</v>
      </c>
      <c r="E5" s="11">
        <f>D5</f>
        <v/>
      </c>
      <c r="F5" s="12" t="n">
        <v>0</v>
      </c>
      <c r="G5" s="12" t="n">
        <v>0</v>
      </c>
      <c r="H5" s="12" t="n">
        <v>0</v>
      </c>
      <c r="I5" s="12" t="n">
        <v>0</v>
      </c>
      <c r="J5" s="8">
        <f>F5+G5-H5-I5</f>
        <v/>
      </c>
      <c r="K5" s="12" t="n">
        <v>12</v>
      </c>
      <c r="L5" s="8">
        <f>IF(J5&lt;=0,"Rupture",IF(J5&lt;=K5,"Bas","OK"))</f>
        <v/>
      </c>
    </row>
    <row r="6">
      <c r="A6" s="8" t="n">
        <v>2</v>
      </c>
      <c r="B6" s="9" t="inlineStr">
        <is>
          <t>Lager</t>
        </is>
      </c>
      <c r="C6" s="9" t="inlineStr">
        <is>
          <t>Bière</t>
        </is>
      </c>
      <c r="D6" s="10" t="n">
        <v>700</v>
      </c>
      <c r="E6" s="11">
        <f>D6</f>
        <v/>
      </c>
      <c r="F6" s="12" t="n">
        <v>0</v>
      </c>
      <c r="G6" s="12" t="n">
        <v>0</v>
      </c>
      <c r="H6" s="12" t="n">
        <v>0</v>
      </c>
      <c r="I6" s="12" t="n">
        <v>0</v>
      </c>
      <c r="J6" s="8">
        <f>F6+G6-H6-I6</f>
        <v/>
      </c>
      <c r="K6" s="12" t="n">
        <v>12</v>
      </c>
      <c r="L6" s="8">
        <f>IF(J6&lt;=0,"Rupture",IF(J6&lt;=K6,"Bas","OK"))</f>
        <v/>
      </c>
    </row>
    <row r="7">
      <c r="A7" s="8" t="n">
        <v>3</v>
      </c>
      <c r="B7" s="9" t="inlineStr">
        <is>
          <t>Beaufort</t>
        </is>
      </c>
      <c r="C7" s="9" t="inlineStr">
        <is>
          <t>Bière</t>
        </is>
      </c>
      <c r="D7" s="10" t="n">
        <v>700</v>
      </c>
      <c r="E7" s="11">
        <f>D7</f>
        <v/>
      </c>
      <c r="F7" s="12" t="n">
        <v>0</v>
      </c>
      <c r="G7" s="12" t="n">
        <v>0</v>
      </c>
      <c r="H7" s="12" t="n">
        <v>0</v>
      </c>
      <c r="I7" s="12" t="n">
        <v>0</v>
      </c>
      <c r="J7" s="8">
        <f>F7+G7-H7-I7</f>
        <v/>
      </c>
      <c r="K7" s="12" t="n">
        <v>12</v>
      </c>
      <c r="L7" s="8">
        <f>IF(J7&lt;=0,"Rupture",IF(J7&lt;=K7,"Bas","OK"))</f>
        <v/>
      </c>
    </row>
    <row r="8">
      <c r="A8" s="8" t="n">
        <v>4</v>
      </c>
      <c r="B8" s="9" t="inlineStr">
        <is>
          <t>Awouyo</t>
        </is>
      </c>
      <c r="C8" s="9" t="inlineStr">
        <is>
          <t>Bière</t>
        </is>
      </c>
      <c r="D8" s="10" t="n">
        <v>800</v>
      </c>
      <c r="E8" s="11">
        <f>D8</f>
        <v/>
      </c>
      <c r="F8" s="12" t="n">
        <v>0</v>
      </c>
      <c r="G8" s="12" t="n">
        <v>0</v>
      </c>
      <c r="H8" s="12" t="n">
        <v>0</v>
      </c>
      <c r="I8" s="12" t="n">
        <v>0</v>
      </c>
      <c r="J8" s="8">
        <f>F8+G8-H8-I8</f>
        <v/>
      </c>
      <c r="K8" s="12" t="n">
        <v>12</v>
      </c>
      <c r="L8" s="8">
        <f>IF(J8&lt;=0,"Rupture",IF(J8&lt;=K8,"Bas","OK"))</f>
        <v/>
      </c>
    </row>
    <row r="9">
      <c r="A9" s="8" t="n">
        <v>5</v>
      </c>
      <c r="B9" s="9" t="inlineStr">
        <is>
          <t>Castel</t>
        </is>
      </c>
      <c r="C9" s="9" t="inlineStr">
        <is>
          <t>Bière</t>
        </is>
      </c>
      <c r="D9" s="10" t="n">
        <v>700</v>
      </c>
      <c r="E9" s="11">
        <f>D9</f>
        <v/>
      </c>
      <c r="F9" s="12" t="n">
        <v>0</v>
      </c>
      <c r="G9" s="12" t="n">
        <v>0</v>
      </c>
      <c r="H9" s="12" t="n">
        <v>0</v>
      </c>
      <c r="I9" s="12" t="n">
        <v>0</v>
      </c>
      <c r="J9" s="8">
        <f>F9+G9-H9-I9</f>
        <v/>
      </c>
      <c r="K9" s="12" t="n">
        <v>12</v>
      </c>
      <c r="L9" s="8">
        <f>IF(J9&lt;=0,"Rupture",IF(J9&lt;=K9,"Bas","OK"))</f>
        <v/>
      </c>
    </row>
    <row r="10">
      <c r="A10" s="8" t="n">
        <v>6</v>
      </c>
      <c r="B10" s="9" t="inlineStr">
        <is>
          <t>Eku</t>
        </is>
      </c>
      <c r="C10" s="9" t="inlineStr">
        <is>
          <t>Bière</t>
        </is>
      </c>
      <c r="D10" s="10" t="n">
        <v>700</v>
      </c>
      <c r="E10" s="11">
        <f>D10</f>
        <v/>
      </c>
      <c r="F10" s="12" t="n">
        <v>0</v>
      </c>
      <c r="G10" s="12" t="n">
        <v>0</v>
      </c>
      <c r="H10" s="12" t="n">
        <v>0</v>
      </c>
      <c r="I10" s="12" t="n">
        <v>0</v>
      </c>
      <c r="J10" s="8">
        <f>F10+G10-H10-I10</f>
        <v/>
      </c>
      <c r="K10" s="12" t="n">
        <v>12</v>
      </c>
      <c r="L10" s="8">
        <f>IF(J10&lt;=0,"Rupture",IF(J10&lt;=K10,"Bas","OK"))</f>
        <v/>
      </c>
    </row>
    <row r="11">
      <c r="A11" s="8" t="n">
        <v>7</v>
      </c>
      <c r="B11" s="9" t="inlineStr">
        <is>
          <t>Doppel</t>
        </is>
      </c>
      <c r="C11" s="9" t="inlineStr">
        <is>
          <t>Bière</t>
        </is>
      </c>
      <c r="D11" s="10" t="n">
        <v>700</v>
      </c>
      <c r="E11" s="11">
        <f>D11</f>
        <v/>
      </c>
      <c r="F11" s="12" t="n">
        <v>0</v>
      </c>
      <c r="G11" s="12" t="n">
        <v>0</v>
      </c>
      <c r="H11" s="12" t="n">
        <v>0</v>
      </c>
      <c r="I11" s="12" t="n">
        <v>0</v>
      </c>
      <c r="J11" s="8">
        <f>F11+G11-H11-I11</f>
        <v/>
      </c>
      <c r="K11" s="12" t="n">
        <v>12</v>
      </c>
      <c r="L11" s="8">
        <f>IF(J11&lt;=0,"Rupture",IF(J11&lt;=K11,"Bas","OK"))</f>
        <v/>
      </c>
    </row>
    <row r="12">
      <c r="A12" s="8" t="n">
        <v>8</v>
      </c>
      <c r="B12" s="9" t="inlineStr">
        <is>
          <t>Racines</t>
        </is>
      </c>
      <c r="C12" s="9" t="inlineStr">
        <is>
          <t>Bière</t>
        </is>
      </c>
      <c r="D12" s="10" t="n">
        <v>700</v>
      </c>
      <c r="E12" s="11">
        <f>D12</f>
        <v/>
      </c>
      <c r="F12" s="12" t="n">
        <v>0</v>
      </c>
      <c r="G12" s="12" t="n">
        <v>0</v>
      </c>
      <c r="H12" s="12" t="n">
        <v>0</v>
      </c>
      <c r="I12" s="12" t="n">
        <v>0</v>
      </c>
      <c r="J12" s="8">
        <f>F12+G12-H12-I12</f>
        <v/>
      </c>
      <c r="K12" s="12" t="n">
        <v>12</v>
      </c>
      <c r="L12" s="8">
        <f>IF(J12&lt;=0,"Rupture",IF(J12&lt;=K12,"Bas","OK"))</f>
        <v/>
      </c>
    </row>
    <row r="13">
      <c r="A13" s="8" t="n">
        <v>9</v>
      </c>
      <c r="B13" s="9" t="inlineStr">
        <is>
          <t>Guinness</t>
        </is>
      </c>
      <c r="C13" s="9" t="inlineStr">
        <is>
          <t>Bière</t>
        </is>
      </c>
      <c r="D13" s="10" t="n">
        <v>800</v>
      </c>
      <c r="E13" s="11">
        <f>D13</f>
        <v/>
      </c>
      <c r="F13" s="12" t="n">
        <v>0</v>
      </c>
      <c r="G13" s="12" t="n">
        <v>0</v>
      </c>
      <c r="H13" s="12" t="n">
        <v>0</v>
      </c>
      <c r="I13" s="12" t="n">
        <v>0</v>
      </c>
      <c r="J13" s="8">
        <f>F13+G13-H13-I13</f>
        <v/>
      </c>
      <c r="K13" s="12" t="n">
        <v>12</v>
      </c>
      <c r="L13" s="8">
        <f>IF(J13&lt;=0,"Rupture",IF(J13&lt;=K13,"Bas","OK"))</f>
        <v/>
      </c>
    </row>
    <row r="14">
      <c r="A14" s="8" t="n">
        <v>10</v>
      </c>
      <c r="B14" s="9" t="inlineStr">
        <is>
          <t>Cocktail</t>
        </is>
      </c>
      <c r="C14" s="9" t="inlineStr">
        <is>
          <t>Sucrerie</t>
        </is>
      </c>
      <c r="D14" s="10" t="n">
        <v>500</v>
      </c>
      <c r="E14" s="11">
        <f>D14</f>
        <v/>
      </c>
      <c r="F14" s="12" t="n">
        <v>0</v>
      </c>
      <c r="G14" s="12" t="n">
        <v>0</v>
      </c>
      <c r="H14" s="12" t="n">
        <v>0</v>
      </c>
      <c r="I14" s="12" t="n">
        <v>0</v>
      </c>
      <c r="J14" s="8">
        <f>F14+G14-H14-I14</f>
        <v/>
      </c>
      <c r="K14" s="12" t="n">
        <v>12</v>
      </c>
      <c r="L14" s="8">
        <f>IF(J14&lt;=0,"Rupture",IF(J14&lt;=K14,"Bas","OK"))</f>
        <v/>
      </c>
    </row>
    <row r="15">
      <c r="A15" s="8" t="n">
        <v>11</v>
      </c>
      <c r="B15" s="9" t="inlineStr">
        <is>
          <t>Coca</t>
        </is>
      </c>
      <c r="C15" s="9" t="inlineStr">
        <is>
          <t>Sucrerie</t>
        </is>
      </c>
      <c r="D15" s="10" t="n">
        <v>500</v>
      </c>
      <c r="E15" s="11">
        <f>D15</f>
        <v/>
      </c>
      <c r="F15" s="12" t="n">
        <v>0</v>
      </c>
      <c r="G15" s="12" t="n">
        <v>0</v>
      </c>
      <c r="H15" s="12" t="n">
        <v>0</v>
      </c>
      <c r="I15" s="12" t="n">
        <v>0</v>
      </c>
      <c r="J15" s="8">
        <f>F15+G15-H15-I15</f>
        <v/>
      </c>
      <c r="K15" s="12" t="n">
        <v>12</v>
      </c>
      <c r="L15" s="8">
        <f>IF(J15&lt;=0,"Rupture",IF(J15&lt;=K15,"Bas","OK"))</f>
        <v/>
      </c>
    </row>
    <row r="16">
      <c r="A16" s="8" t="n">
        <v>12</v>
      </c>
      <c r="B16" s="9" t="inlineStr">
        <is>
          <t>Malta</t>
        </is>
      </c>
      <c r="C16" s="9" t="inlineStr">
        <is>
          <t>Sucrerie</t>
        </is>
      </c>
      <c r="D16" s="10" t="n">
        <v>500</v>
      </c>
      <c r="E16" s="11">
        <f>D16</f>
        <v/>
      </c>
      <c r="F16" s="12" t="n">
        <v>0</v>
      </c>
      <c r="G16" s="12" t="n">
        <v>0</v>
      </c>
      <c r="H16" s="12" t="n">
        <v>0</v>
      </c>
      <c r="I16" s="12" t="n">
        <v>0</v>
      </c>
      <c r="J16" s="8">
        <f>F16+G16-H16-I16</f>
        <v/>
      </c>
      <c r="K16" s="12" t="n">
        <v>12</v>
      </c>
      <c r="L16" s="8">
        <f>IF(J16&lt;=0,"Rupture",IF(J16&lt;=K16,"Bas","OK"))</f>
        <v/>
      </c>
    </row>
    <row r="17">
      <c r="A17" s="8" t="n">
        <v>13</v>
      </c>
      <c r="B17" s="9" t="inlineStr">
        <is>
          <t>Youzou</t>
        </is>
      </c>
      <c r="C17" s="9" t="inlineStr">
        <is>
          <t>Sucrerie</t>
        </is>
      </c>
      <c r="D17" s="10" t="n">
        <v>500</v>
      </c>
      <c r="E17" s="11">
        <f>D17</f>
        <v/>
      </c>
      <c r="F17" s="12" t="n">
        <v>0</v>
      </c>
      <c r="G17" s="12" t="n">
        <v>0</v>
      </c>
      <c r="H17" s="12" t="n">
        <v>0</v>
      </c>
      <c r="I17" s="12" t="n">
        <v>0</v>
      </c>
      <c r="J17" s="8">
        <f>F17+G17-H17-I17</f>
        <v/>
      </c>
      <c r="K17" s="12" t="n">
        <v>12</v>
      </c>
      <c r="L17" s="8">
        <f>IF(J17&lt;=0,"Rupture",IF(J17&lt;=K17,"Bas","OK"))</f>
        <v/>
      </c>
    </row>
    <row r="18">
      <c r="A18" s="8" t="n">
        <v>14</v>
      </c>
      <c r="B18" s="9" t="inlineStr">
        <is>
          <t>Chill</t>
        </is>
      </c>
      <c r="C18" s="9" t="inlineStr">
        <is>
          <t>Sucrerie</t>
        </is>
      </c>
      <c r="D18" s="10" t="n">
        <v>600</v>
      </c>
      <c r="E18" s="11">
        <f>D18</f>
        <v/>
      </c>
      <c r="F18" s="12" t="n">
        <v>0</v>
      </c>
      <c r="G18" s="12" t="n">
        <v>0</v>
      </c>
      <c r="H18" s="12" t="n">
        <v>0</v>
      </c>
      <c r="I18" s="12" t="n">
        <v>0</v>
      </c>
      <c r="J18" s="8">
        <f>F18+G18-H18-I18</f>
        <v/>
      </c>
      <c r="K18" s="12" t="n">
        <v>12</v>
      </c>
      <c r="L18" s="8">
        <f>IF(J18&lt;=0,"Rupture",IF(J18&lt;=K18,"Bas","OK"))</f>
        <v/>
      </c>
    </row>
    <row r="19">
      <c r="A19" s="8" t="n">
        <v>15</v>
      </c>
      <c r="B19" s="9" t="inlineStr">
        <is>
          <t>Xxl</t>
        </is>
      </c>
      <c r="C19" s="9" t="inlineStr">
        <is>
          <t>Énergisante</t>
        </is>
      </c>
      <c r="D19" s="10" t="n">
        <v>700</v>
      </c>
      <c r="E19" s="11">
        <f>D19</f>
        <v/>
      </c>
      <c r="F19" s="12" t="n">
        <v>0</v>
      </c>
      <c r="G19" s="12" t="n">
        <v>0</v>
      </c>
      <c r="H19" s="12" t="n">
        <v>0</v>
      </c>
      <c r="I19" s="12" t="n">
        <v>0</v>
      </c>
      <c r="J19" s="8">
        <f>F19+G19-H19-I19</f>
        <v/>
      </c>
      <c r="K19" s="12" t="n">
        <v>12</v>
      </c>
      <c r="L19" s="8">
        <f>IF(J19&lt;=0,"Rupture",IF(J19&lt;=K19,"Bas","OK"))</f>
        <v/>
      </c>
    </row>
    <row r="20">
      <c r="A20" s="8" t="n">
        <v>16</v>
      </c>
      <c r="B20" s="9" t="inlineStr">
        <is>
          <t>Sport actif</t>
        </is>
      </c>
      <c r="C20" s="9" t="inlineStr">
        <is>
          <t>Énergisante</t>
        </is>
      </c>
      <c r="D20" s="10" t="n">
        <v>500</v>
      </c>
      <c r="E20" s="11">
        <f>D20</f>
        <v/>
      </c>
      <c r="F20" s="12" t="n">
        <v>0</v>
      </c>
      <c r="G20" s="12" t="n">
        <v>0</v>
      </c>
      <c r="H20" s="12" t="n">
        <v>0</v>
      </c>
      <c r="I20" s="12" t="n">
        <v>0</v>
      </c>
      <c r="J20" s="8">
        <f>F20+G20-H20-I20</f>
        <v/>
      </c>
      <c r="K20" s="12" t="n">
        <v>12</v>
      </c>
      <c r="L20" s="8">
        <f>IF(J20&lt;=0,"Rupture",IF(J20&lt;=K20,"Bas","OK"))</f>
        <v/>
      </c>
    </row>
    <row r="21">
      <c r="A21" s="8" t="n">
        <v>17</v>
      </c>
      <c r="B21" s="9" t="inlineStr">
        <is>
          <t>Tonic</t>
        </is>
      </c>
      <c r="C21" s="9" t="inlineStr">
        <is>
          <t>Sucrerie</t>
        </is>
      </c>
      <c r="D21" s="10" t="n">
        <v>500</v>
      </c>
      <c r="E21" s="11">
        <f>D21</f>
        <v/>
      </c>
      <c r="F21" s="12" t="n">
        <v>0</v>
      </c>
      <c r="G21" s="12" t="n">
        <v>0</v>
      </c>
      <c r="H21" s="12" t="n">
        <v>0</v>
      </c>
      <c r="I21" s="12" t="n">
        <v>0</v>
      </c>
      <c r="J21" s="8">
        <f>F21+G21-H21-I21</f>
        <v/>
      </c>
      <c r="K21" s="12" t="n">
        <v>12</v>
      </c>
      <c r="L21" s="8">
        <f>IF(J21&lt;=0,"Rupture",IF(J21&lt;=K21,"Bas","OK"))</f>
        <v/>
      </c>
    </row>
    <row r="22">
      <c r="A22" s="8" t="n">
        <v>18</v>
      </c>
      <c r="B22" s="9" t="inlineStr">
        <is>
          <t>Djama pils</t>
        </is>
      </c>
      <c r="C22" s="9" t="inlineStr">
        <is>
          <t>Bière</t>
        </is>
      </c>
      <c r="D22" s="10" t="n">
        <v>700</v>
      </c>
      <c r="E22" s="11">
        <f>D22</f>
        <v/>
      </c>
      <c r="F22" s="12" t="n">
        <v>0</v>
      </c>
      <c r="G22" s="12" t="n">
        <v>0</v>
      </c>
      <c r="H22" s="12" t="n">
        <v>0</v>
      </c>
      <c r="I22" s="12" t="n">
        <v>0</v>
      </c>
      <c r="J22" s="8">
        <f>F22+G22-H22-I22</f>
        <v/>
      </c>
      <c r="K22" s="12" t="n">
        <v>12</v>
      </c>
      <c r="L22" s="8">
        <f>IF(J22&lt;=0,"Rupture",IF(J22&lt;=K22,"Bas","OK"))</f>
        <v/>
      </c>
    </row>
    <row r="23">
      <c r="A23" s="8" t="n">
        <v>19</v>
      </c>
      <c r="B23" s="9" t="inlineStr">
        <is>
          <t>Djama Lager</t>
        </is>
      </c>
      <c r="C23" s="9" t="inlineStr">
        <is>
          <t>Bière</t>
        </is>
      </c>
      <c r="D23" s="10" t="n">
        <v>700</v>
      </c>
      <c r="E23" s="11">
        <f>D23</f>
        <v/>
      </c>
      <c r="F23" s="12" t="n">
        <v>0</v>
      </c>
      <c r="G23" s="12" t="n">
        <v>0</v>
      </c>
      <c r="H23" s="12" t="n">
        <v>0</v>
      </c>
      <c r="I23" s="12" t="n">
        <v>0</v>
      </c>
      <c r="J23" s="8">
        <f>F23+G23-H23-I23</f>
        <v/>
      </c>
      <c r="K23" s="12" t="n">
        <v>12</v>
      </c>
      <c r="L23" s="8">
        <f>IF(J23&lt;=0,"Rupture",IF(J23&lt;=K23,"Bas","OK"))</f>
        <v/>
      </c>
    </row>
    <row r="24">
      <c r="A24" s="8" t="n">
        <v>20</v>
      </c>
      <c r="B24" s="9" t="inlineStr">
        <is>
          <t>Djama 228</t>
        </is>
      </c>
      <c r="C24" s="9" t="inlineStr">
        <is>
          <t>Bière</t>
        </is>
      </c>
      <c r="D24" s="10" t="n">
        <v>700</v>
      </c>
      <c r="E24" s="11">
        <f>D24</f>
        <v/>
      </c>
      <c r="F24" s="12" t="n">
        <v>0</v>
      </c>
      <c r="G24" s="12" t="n">
        <v>0</v>
      </c>
      <c r="H24" s="12" t="n">
        <v>0</v>
      </c>
      <c r="I24" s="12" t="n">
        <v>0</v>
      </c>
      <c r="J24" s="8">
        <f>F24+G24-H24-I24</f>
        <v/>
      </c>
      <c r="K24" s="12" t="n">
        <v>12</v>
      </c>
      <c r="L24" s="8">
        <f>IF(J24&lt;=0,"Rupture",IF(J24&lt;=K24,"Bas","OK"))</f>
        <v/>
      </c>
    </row>
    <row r="25">
      <c r="A25" s="8" t="n">
        <v>21</v>
      </c>
      <c r="B25" s="9" t="inlineStr">
        <is>
          <t>Djama noir</t>
        </is>
      </c>
      <c r="C25" s="9" t="inlineStr">
        <is>
          <t>Bière</t>
        </is>
      </c>
      <c r="D25" s="10" t="n">
        <v>800</v>
      </c>
      <c r="E25" s="11">
        <f>D25</f>
        <v/>
      </c>
      <c r="F25" s="12" t="n">
        <v>0</v>
      </c>
      <c r="G25" s="12" t="n">
        <v>0</v>
      </c>
      <c r="H25" s="12" t="n">
        <v>0</v>
      </c>
      <c r="I25" s="12" t="n">
        <v>0</v>
      </c>
      <c r="J25" s="8">
        <f>F25+G25-H25-I25</f>
        <v/>
      </c>
      <c r="K25" s="12" t="n">
        <v>12</v>
      </c>
      <c r="L25" s="8">
        <f>IF(J25&lt;=0,"Rupture",IF(J25&lt;=K25,"Bas","OK"))</f>
        <v/>
      </c>
    </row>
    <row r="26">
      <c r="A26" s="8" t="n">
        <v>22</v>
      </c>
      <c r="B26" s="9" t="inlineStr">
        <is>
          <t>Djama panaché</t>
        </is>
      </c>
      <c r="C26" s="9" t="inlineStr">
        <is>
          <t>Bière</t>
        </is>
      </c>
      <c r="D26" s="10" t="n">
        <v>600</v>
      </c>
      <c r="E26" s="11">
        <f>D26</f>
        <v/>
      </c>
      <c r="F26" s="12" t="n">
        <v>0</v>
      </c>
      <c r="G26" s="12" t="n">
        <v>0</v>
      </c>
      <c r="H26" s="12" t="n">
        <v>0</v>
      </c>
      <c r="I26" s="12" t="n">
        <v>0</v>
      </c>
      <c r="J26" s="8">
        <f>F26+G26-H26-I26</f>
        <v/>
      </c>
      <c r="K26" s="12" t="n">
        <v>12</v>
      </c>
      <c r="L26" s="8">
        <f>IF(J26&lt;=0,"Rupture",IF(J26&lt;=K26,"Bas","OK"))</f>
        <v/>
      </c>
    </row>
    <row r="27">
      <c r="A27" s="8" t="n">
        <v>23</v>
      </c>
      <c r="B27" s="9" t="inlineStr">
        <is>
          <t>Sikavi</t>
        </is>
      </c>
      <c r="C27" s="9" t="inlineStr">
        <is>
          <t>Bière</t>
        </is>
      </c>
      <c r="D27" s="10" t="n">
        <v>700</v>
      </c>
      <c r="E27" s="11">
        <f>D27</f>
        <v/>
      </c>
      <c r="F27" s="12" t="n">
        <v>0</v>
      </c>
      <c r="G27" s="12" t="n">
        <v>0</v>
      </c>
      <c r="H27" s="12" t="n">
        <v>0</v>
      </c>
      <c r="I27" s="12" t="n">
        <v>0</v>
      </c>
      <c r="J27" s="8">
        <f>F27+G27-H27-I27</f>
        <v/>
      </c>
      <c r="K27" s="12" t="n">
        <v>12</v>
      </c>
      <c r="L27" s="8">
        <f>IF(J27&lt;=0,"Rupture",IF(J27&lt;=K27,"Bas","OK"))</f>
        <v/>
      </c>
    </row>
    <row r="28">
      <c r="A28" s="8" t="n">
        <v>24</v>
      </c>
      <c r="B28" s="9" t="inlineStr">
        <is>
          <t>Bitter lemon</t>
        </is>
      </c>
      <c r="C28" s="9" t="inlineStr">
        <is>
          <t>Sucrerie</t>
        </is>
      </c>
      <c r="D28" s="10" t="n">
        <v>500</v>
      </c>
      <c r="E28" s="11">
        <f>D28</f>
        <v/>
      </c>
      <c r="F28" s="12" t="n">
        <v>0</v>
      </c>
      <c r="G28" s="12" t="n">
        <v>0</v>
      </c>
      <c r="H28" s="12" t="n">
        <v>0</v>
      </c>
      <c r="I28" s="12" t="n">
        <v>0</v>
      </c>
      <c r="J28" s="8">
        <f>F28+G28-H28-I28</f>
        <v/>
      </c>
      <c r="K28" s="12" t="n">
        <v>12</v>
      </c>
      <c r="L28" s="8">
        <f>IF(J28&lt;=0,"Rupture",IF(J28&lt;=K28,"Bas","OK"))</f>
        <v/>
      </c>
    </row>
    <row r="29">
      <c r="A29" s="8" t="n">
        <v>25</v>
      </c>
      <c r="B29" s="9" t="inlineStr">
        <is>
          <t>Agrumes</t>
        </is>
      </c>
      <c r="C29" s="9" t="inlineStr">
        <is>
          <t>Sucrerie</t>
        </is>
      </c>
      <c r="D29" s="10" t="n">
        <v>500</v>
      </c>
      <c r="E29" s="11">
        <f>D29</f>
        <v/>
      </c>
      <c r="F29" s="12" t="n">
        <v>0</v>
      </c>
      <c r="G29" s="12" t="n">
        <v>0</v>
      </c>
      <c r="H29" s="12" t="n">
        <v>0</v>
      </c>
      <c r="I29" s="12" t="n">
        <v>0</v>
      </c>
      <c r="J29" s="8">
        <f>F29+G29-H29-I29</f>
        <v/>
      </c>
      <c r="K29" s="12" t="n">
        <v>12</v>
      </c>
      <c r="L29" s="8">
        <f>IF(J29&lt;=0,"Rupture",IF(J29&lt;=K29,"Bas","OK"))</f>
        <v/>
      </c>
    </row>
    <row r="30">
      <c r="A30" s="8" t="n">
        <v>26</v>
      </c>
      <c r="B30" s="9" t="inlineStr">
        <is>
          <t>Pom Pom</t>
        </is>
      </c>
      <c r="C30" s="9" t="inlineStr">
        <is>
          <t>Sucrerie</t>
        </is>
      </c>
      <c r="D30" s="10" t="n">
        <v>500</v>
      </c>
      <c r="E30" s="11">
        <f>D30</f>
        <v/>
      </c>
      <c r="F30" s="12" t="n">
        <v>0</v>
      </c>
      <c r="G30" s="12" t="n">
        <v>0</v>
      </c>
      <c r="H30" s="12" t="n">
        <v>0</v>
      </c>
      <c r="I30" s="12" t="n">
        <v>0</v>
      </c>
      <c r="J30" s="8">
        <f>F30+G30-H30-I30</f>
        <v/>
      </c>
      <c r="K30" s="12" t="n">
        <v>12</v>
      </c>
      <c r="L30" s="8">
        <f>IF(J30&lt;=0,"Rupture",IF(J30&lt;=K30,"Bas","OK"))</f>
        <v/>
      </c>
    </row>
    <row r="31">
      <c r="A31" s="8" t="n">
        <v>27</v>
      </c>
      <c r="B31" s="9" t="inlineStr">
        <is>
          <t>Cristal</t>
        </is>
      </c>
      <c r="C31" s="9" t="inlineStr">
        <is>
          <t>Eau</t>
        </is>
      </c>
      <c r="D31" s="10" t="n">
        <v>600</v>
      </c>
      <c r="E31" s="11">
        <f>D31</f>
        <v/>
      </c>
      <c r="F31" s="12" t="n">
        <v>0</v>
      </c>
      <c r="G31" s="12" t="n">
        <v>0</v>
      </c>
      <c r="H31" s="12" t="n">
        <v>0</v>
      </c>
      <c r="I31" s="12" t="n">
        <v>0</v>
      </c>
      <c r="J31" s="8">
        <f>F31+G31-H31-I31</f>
        <v/>
      </c>
      <c r="K31" s="12" t="n">
        <v>12</v>
      </c>
      <c r="L31" s="8">
        <f>IF(J31&lt;=0,"Rupture",IF(J31&lt;=K31,"Bas","OK"))</f>
        <v/>
      </c>
    </row>
    <row r="32">
      <c r="A32" s="8" t="n">
        <v>28</v>
      </c>
      <c r="B32" s="9" t="inlineStr">
        <is>
          <t>Voltic</t>
        </is>
      </c>
      <c r="C32" s="9" t="inlineStr">
        <is>
          <t>Eau</t>
        </is>
      </c>
      <c r="D32" s="10" t="n">
        <v>600</v>
      </c>
      <c r="E32" s="11">
        <f>D32</f>
        <v/>
      </c>
      <c r="F32" s="12" t="n">
        <v>0</v>
      </c>
      <c r="G32" s="12" t="n">
        <v>0</v>
      </c>
      <c r="H32" s="12" t="n">
        <v>0</v>
      </c>
      <c r="I32" s="12" t="n">
        <v>0</v>
      </c>
      <c r="J32" s="8">
        <f>F32+G32-H32-I32</f>
        <v/>
      </c>
      <c r="K32" s="12" t="n">
        <v>12</v>
      </c>
      <c r="L32" s="8">
        <f>IF(J32&lt;=0,"Rupture",IF(J32&lt;=K32,"Bas","OK"))</f>
        <v/>
      </c>
    </row>
    <row r="33">
      <c r="A33" s="8" t="n">
        <v>29</v>
      </c>
      <c r="B33" s="9" t="inlineStr">
        <is>
          <t>Verna</t>
        </is>
      </c>
      <c r="C33" s="9" t="inlineStr">
        <is>
          <t>Eau</t>
        </is>
      </c>
      <c r="D33" s="10" t="n">
        <v>300</v>
      </c>
      <c r="E33" s="11">
        <f>D33</f>
        <v/>
      </c>
      <c r="F33" s="12" t="n">
        <v>0</v>
      </c>
      <c r="G33" s="12" t="n">
        <v>0</v>
      </c>
      <c r="H33" s="12" t="n">
        <v>0</v>
      </c>
      <c r="I33" s="12" t="n">
        <v>0</v>
      </c>
      <c r="J33" s="8">
        <f>F33+G33-H33-I33</f>
        <v/>
      </c>
      <c r="K33" s="12" t="n">
        <v>12</v>
      </c>
      <c r="L33" s="8">
        <f>IF(J33&lt;=0,"Rupture",IF(J33&lt;=K33,"Bas","OK"))</f>
        <v/>
      </c>
    </row>
    <row r="34">
      <c r="A34" s="8" t="n">
        <v>30</v>
      </c>
      <c r="B34" s="9" t="inlineStr">
        <is>
          <t>Possotome</t>
        </is>
      </c>
      <c r="C34" s="9" t="inlineStr">
        <is>
          <t>Eau</t>
        </is>
      </c>
      <c r="D34" s="10" t="n">
        <v>1500</v>
      </c>
      <c r="E34" s="11">
        <f>D34</f>
        <v/>
      </c>
      <c r="F34" s="12" t="n">
        <v>0</v>
      </c>
      <c r="G34" s="12" t="n">
        <v>0</v>
      </c>
      <c r="H34" s="12" t="n">
        <v>0</v>
      </c>
      <c r="I34" s="12" t="n">
        <v>0</v>
      </c>
      <c r="J34" s="8">
        <f>F34+G34-H34-I34</f>
        <v/>
      </c>
      <c r="K34" s="12" t="n">
        <v>12</v>
      </c>
      <c r="L34" s="8">
        <f>IF(J34&lt;=0,"Rupture",IF(J34&lt;=K34,"Bas","OK"))</f>
        <v/>
      </c>
    </row>
    <row r="35">
      <c r="A35" s="8" t="n">
        <v>31</v>
      </c>
      <c r="B35" s="9" t="inlineStr">
        <is>
          <t>Vody</t>
        </is>
      </c>
      <c r="C35" s="9" t="inlineStr">
        <is>
          <t>Bière</t>
        </is>
      </c>
      <c r="D35" s="10" t="n">
        <v>800</v>
      </c>
      <c r="E35" s="11">
        <f>D35</f>
        <v/>
      </c>
      <c r="F35" s="12" t="n">
        <v>0</v>
      </c>
      <c r="G35" s="12" t="n">
        <v>0</v>
      </c>
      <c r="H35" s="12" t="n">
        <v>0</v>
      </c>
      <c r="I35" s="12" t="n">
        <v>0</v>
      </c>
      <c r="J35" s="8">
        <f>F35+G35-H35-I35</f>
        <v/>
      </c>
      <c r="K35" s="12" t="n">
        <v>12</v>
      </c>
      <c r="L35" s="8">
        <f>IF(J35&lt;=0,"Rupture",IF(J35&lt;=K35,"Bas","OK"))</f>
        <v/>
      </c>
    </row>
    <row r="36">
      <c r="A36" s="8" t="n">
        <v>32</v>
      </c>
      <c r="B36" s="9" t="inlineStr">
        <is>
          <t>3x</t>
        </is>
      </c>
      <c r="C36" s="9" t="inlineStr">
        <is>
          <t>Énergisante</t>
        </is>
      </c>
      <c r="D36" s="10" t="n">
        <v>500</v>
      </c>
      <c r="E36" s="11">
        <f>D36</f>
        <v/>
      </c>
      <c r="F36" s="12" t="n">
        <v>0</v>
      </c>
      <c r="G36" s="12" t="n">
        <v>0</v>
      </c>
      <c r="H36" s="12" t="n">
        <v>0</v>
      </c>
      <c r="I36" s="12" t="n">
        <v>0</v>
      </c>
      <c r="J36" s="8">
        <f>F36+G36-H36-I36</f>
        <v/>
      </c>
      <c r="K36" s="12" t="n">
        <v>12</v>
      </c>
      <c r="L36" s="8">
        <f>IF(J36&lt;=0,"Rupture",IF(J36&lt;=K36,"Bas","OK"))</f>
        <v/>
      </c>
    </row>
    <row r="37">
      <c r="A37" s="8" t="n">
        <v>33</v>
      </c>
      <c r="B37" s="9" t="inlineStr">
        <is>
          <t>Origin</t>
        </is>
      </c>
      <c r="C37" s="9" t="inlineStr">
        <is>
          <t>Bière</t>
        </is>
      </c>
      <c r="D37" s="10" t="n">
        <v>800</v>
      </c>
      <c r="E37" s="11">
        <f>D37</f>
        <v/>
      </c>
      <c r="F37" s="12" t="n">
        <v>0</v>
      </c>
      <c r="G37" s="12" t="n">
        <v>0</v>
      </c>
      <c r="H37" s="12" t="n">
        <v>0</v>
      </c>
      <c r="I37" s="12" t="n">
        <v>0</v>
      </c>
      <c r="J37" s="8">
        <f>F37+G37-H37-I37</f>
        <v/>
      </c>
      <c r="K37" s="12" t="n">
        <v>12</v>
      </c>
      <c r="L37" s="8">
        <f>IF(J37&lt;=0,"Rupture",IF(J37&lt;=K37,"Bas","OK"))</f>
        <v/>
      </c>
    </row>
    <row r="38">
      <c r="A38" s="8" t="n">
        <v>34</v>
      </c>
      <c r="B38" s="9" t="inlineStr">
        <is>
          <t>RoxEnergy</t>
        </is>
      </c>
      <c r="C38" s="9" t="inlineStr">
        <is>
          <t>Énergisante</t>
        </is>
      </c>
      <c r="D38" s="10" t="n">
        <v>1000</v>
      </c>
      <c r="E38" s="11">
        <f>D38</f>
        <v/>
      </c>
      <c r="F38" s="12" t="n">
        <v>0</v>
      </c>
      <c r="G38" s="12" t="n">
        <v>0</v>
      </c>
      <c r="H38" s="12" t="n">
        <v>0</v>
      </c>
      <c r="I38" s="12" t="n">
        <v>0</v>
      </c>
      <c r="J38" s="8">
        <f>F38+G38-H38-I38</f>
        <v/>
      </c>
      <c r="K38" s="12" t="n">
        <v>12</v>
      </c>
      <c r="L38" s="8">
        <f>IF(J38&lt;=0,"Rupture",IF(J38&lt;=K38,"Bas","OK"))</f>
        <v/>
      </c>
    </row>
    <row r="39">
      <c r="A39" s="8" t="n">
        <v>35</v>
      </c>
      <c r="B39" s="9" t="inlineStr">
        <is>
          <t>Ira</t>
        </is>
      </c>
      <c r="C39" s="9" t="inlineStr">
        <is>
          <t>Bière</t>
        </is>
      </c>
      <c r="D39" s="10" t="n">
        <v>600</v>
      </c>
      <c r="E39" s="11">
        <f>D39</f>
        <v/>
      </c>
      <c r="F39" s="12" t="n">
        <v>0</v>
      </c>
      <c r="G39" s="12" t="n">
        <v>0</v>
      </c>
      <c r="H39" s="12" t="n">
        <v>0</v>
      </c>
      <c r="I39" s="12" t="n">
        <v>0</v>
      </c>
      <c r="J39" s="8">
        <f>F39+G39-H39-I39</f>
        <v/>
      </c>
      <c r="K39" s="12" t="n">
        <v>12</v>
      </c>
      <c r="L39" s="8">
        <f>IF(J39&lt;=0,"Rupture",IF(J39&lt;=K39,"Bas","OK"))</f>
        <v/>
      </c>
    </row>
    <row r="40">
      <c r="A40" s="8" t="n">
        <v>36</v>
      </c>
      <c r="B40" s="9" t="inlineStr">
        <is>
          <t>Benin'or</t>
        </is>
      </c>
      <c r="C40" s="9" t="inlineStr">
        <is>
          <t>Bière</t>
        </is>
      </c>
      <c r="D40" s="10" t="n">
        <v>600</v>
      </c>
      <c r="E40" s="11">
        <f>D40</f>
        <v/>
      </c>
      <c r="F40" s="12" t="n">
        <v>0</v>
      </c>
      <c r="G40" s="12" t="n">
        <v>0</v>
      </c>
      <c r="H40" s="12" t="n">
        <v>0</v>
      </c>
      <c r="I40" s="12" t="n">
        <v>0</v>
      </c>
      <c r="J40" s="8">
        <f>F40+G40-H40-I40</f>
        <v/>
      </c>
      <c r="K40" s="12" t="n">
        <v>12</v>
      </c>
      <c r="L40" s="8">
        <f>IF(J40&lt;=0,"Rupture",IF(J40&lt;=K40,"Bas","OK"))</f>
        <v/>
      </c>
    </row>
    <row r="41">
      <c r="A41" s="8" t="n">
        <v>37</v>
      </c>
      <c r="B41" s="9" t="inlineStr">
        <is>
          <t>Malta Can</t>
        </is>
      </c>
      <c r="C41" s="9" t="inlineStr">
        <is>
          <t>Sucrerie</t>
        </is>
      </c>
      <c r="D41" s="10" t="n">
        <v>500</v>
      </c>
      <c r="E41" s="11">
        <f>D41</f>
        <v/>
      </c>
      <c r="F41" s="12" t="n">
        <v>0</v>
      </c>
      <c r="G41" s="12" t="n">
        <v>0</v>
      </c>
      <c r="H41" s="12" t="n">
        <v>0</v>
      </c>
      <c r="I41" s="12" t="n">
        <v>0</v>
      </c>
      <c r="J41" s="8">
        <f>F41+G41-H41-I41</f>
        <v/>
      </c>
      <c r="K41" s="12" t="n">
        <v>12</v>
      </c>
      <c r="L41" s="8">
        <f>IF(J41&lt;=0,"Rupture",IF(J41&lt;=K41,"Bas","OK"))</f>
        <v/>
      </c>
    </row>
    <row r="42">
      <c r="A42" s="8" t="n">
        <v>38</v>
      </c>
      <c r="B42" s="9" t="inlineStr">
        <is>
          <t>Cocktail Can</t>
        </is>
      </c>
      <c r="C42" s="9" t="inlineStr">
        <is>
          <t>Sucrerie</t>
        </is>
      </c>
      <c r="D42" s="10" t="n">
        <v>500</v>
      </c>
      <c r="E42" s="11">
        <f>D42</f>
        <v/>
      </c>
      <c r="F42" s="12" t="n">
        <v>0</v>
      </c>
      <c r="G42" s="12" t="n">
        <v>0</v>
      </c>
      <c r="H42" s="12" t="n">
        <v>0</v>
      </c>
      <c r="I42" s="12" t="n">
        <v>0</v>
      </c>
      <c r="J42" s="8">
        <f>F42+G42-H42-I42</f>
        <v/>
      </c>
      <c r="K42" s="12" t="n">
        <v>12</v>
      </c>
      <c r="L42" s="8">
        <f>IF(J42&lt;=0,"Rupture",IF(J42&lt;=K42,"Bas","OK"))</f>
        <v/>
      </c>
    </row>
    <row r="43">
      <c r="A43" s="8" t="n">
        <v>39</v>
      </c>
      <c r="B43" s="9" t="inlineStr">
        <is>
          <t>Desperado</t>
        </is>
      </c>
      <c r="C43" s="9" t="inlineStr">
        <is>
          <t>Bière</t>
        </is>
      </c>
      <c r="D43" s="10" t="n">
        <v>800</v>
      </c>
      <c r="E43" s="11">
        <f>D43</f>
        <v/>
      </c>
      <c r="F43" s="12" t="n">
        <v>0</v>
      </c>
      <c r="G43" s="12" t="n">
        <v>0</v>
      </c>
      <c r="H43" s="12" t="n">
        <v>0</v>
      </c>
      <c r="I43" s="12" t="n">
        <v>0</v>
      </c>
      <c r="J43" s="8">
        <f>F43+G43-H43-I43</f>
        <v/>
      </c>
      <c r="K43" s="12" t="n">
        <v>12</v>
      </c>
      <c r="L43" s="8">
        <f>IF(J43&lt;=0,"Rupture",IF(J43&lt;=K43,"Bas","OK"))</f>
        <v/>
      </c>
    </row>
    <row r="44">
      <c r="A44" s="8" t="n">
        <v>40</v>
      </c>
      <c r="B44" s="9" t="inlineStr">
        <is>
          <t>Heineken</t>
        </is>
      </c>
      <c r="C44" s="9" t="inlineStr">
        <is>
          <t>Bière</t>
        </is>
      </c>
      <c r="D44" s="10" t="n">
        <v>1200</v>
      </c>
      <c r="E44" s="11">
        <f>D44</f>
        <v/>
      </c>
      <c r="F44" s="12" t="n">
        <v>0</v>
      </c>
      <c r="G44" s="12" t="n">
        <v>0</v>
      </c>
      <c r="H44" s="12" t="n">
        <v>0</v>
      </c>
      <c r="I44" s="12" t="n">
        <v>0</v>
      </c>
      <c r="J44" s="8">
        <f>F44+G44-H44-I44</f>
        <v/>
      </c>
      <c r="K44" s="12" t="n">
        <v>12</v>
      </c>
      <c r="L44" s="8">
        <f>IF(J44&lt;=0,"Rupture",IF(J44&lt;=K44,"Bas","OK"))</f>
        <v/>
      </c>
    </row>
    <row r="45">
      <c r="A45" s="8" t="n">
        <v>41</v>
      </c>
      <c r="B45" s="9" t="inlineStr">
        <is>
          <t>Red bull</t>
        </is>
      </c>
      <c r="C45" s="9" t="inlineStr">
        <is>
          <t>Énergisante</t>
        </is>
      </c>
      <c r="D45" s="10" t="n">
        <v>1200</v>
      </c>
      <c r="E45" s="11">
        <f>D45</f>
        <v/>
      </c>
      <c r="F45" s="12" t="n">
        <v>0</v>
      </c>
      <c r="G45" s="12" t="n">
        <v>0</v>
      </c>
      <c r="H45" s="12" t="n">
        <v>0</v>
      </c>
      <c r="I45" s="12" t="n">
        <v>0</v>
      </c>
      <c r="J45" s="8">
        <f>F45+G45-H45-I45</f>
        <v/>
      </c>
      <c r="K45" s="12" t="n">
        <v>12</v>
      </c>
      <c r="L45" s="8">
        <f>IF(J45&lt;=0,"Rupture",IF(J45&lt;=K45,"Bas","OK"))</f>
        <v/>
      </c>
    </row>
    <row r="46">
      <c r="A46" s="8" t="n">
        <v>42</v>
      </c>
      <c r="B46" s="9" t="inlineStr">
        <is>
          <t>Double 7</t>
        </is>
      </c>
      <c r="C46" s="9" t="inlineStr">
        <is>
          <t>Bière</t>
        </is>
      </c>
      <c r="D46" s="10" t="n">
        <v>800</v>
      </c>
      <c r="E46" s="11">
        <f>D46</f>
        <v/>
      </c>
      <c r="F46" s="12" t="n">
        <v>0</v>
      </c>
      <c r="G46" s="12" t="n">
        <v>0</v>
      </c>
      <c r="H46" s="12" t="n">
        <v>0</v>
      </c>
      <c r="I46" s="12" t="n">
        <v>0</v>
      </c>
      <c r="J46" s="8">
        <f>F46+G46-H46-I46</f>
        <v/>
      </c>
      <c r="K46" s="12" t="n">
        <v>12</v>
      </c>
      <c r="L46" s="8">
        <f>IF(J46&lt;=0,"Rupture",IF(J46&lt;=K46,"Bas","OK"))</f>
        <v/>
      </c>
    </row>
    <row r="47">
      <c r="A47" s="8" t="n">
        <v>43</v>
      </c>
      <c r="B47" s="9" t="inlineStr">
        <is>
          <t>Rush</t>
        </is>
      </c>
      <c r="C47" s="9" t="inlineStr">
        <is>
          <t>Énergisante</t>
        </is>
      </c>
      <c r="D47" s="10" t="n">
        <v>300</v>
      </c>
      <c r="E47" s="11">
        <f>D47</f>
        <v/>
      </c>
      <c r="F47" s="12" t="n">
        <v>0</v>
      </c>
      <c r="G47" s="12" t="n">
        <v>0</v>
      </c>
      <c r="H47" s="12" t="n">
        <v>0</v>
      </c>
      <c r="I47" s="12" t="n">
        <v>0</v>
      </c>
      <c r="J47" s="8">
        <f>F47+G47-H47-I47</f>
        <v/>
      </c>
      <c r="K47" s="12" t="n">
        <v>12</v>
      </c>
      <c r="L47" s="8">
        <f>IF(J47&lt;=0,"Rupture",IF(J47&lt;=K47,"Bas","OK"))</f>
        <v/>
      </c>
    </row>
    <row r="48">
      <c r="A48" s="8" t="n">
        <v>44</v>
      </c>
      <c r="B48" s="9" t="inlineStr">
        <is>
          <t>Vita mulk</t>
        </is>
      </c>
      <c r="C48" s="9" t="inlineStr">
        <is>
          <t>Autre</t>
        </is>
      </c>
      <c r="D48" s="10" t="n">
        <v>800</v>
      </c>
      <c r="E48" s="11">
        <f>D48</f>
        <v/>
      </c>
      <c r="F48" s="12" t="n">
        <v>0</v>
      </c>
      <c r="G48" s="12" t="n">
        <v>0</v>
      </c>
      <c r="H48" s="12" t="n">
        <v>0</v>
      </c>
      <c r="I48" s="12" t="n">
        <v>0</v>
      </c>
      <c r="J48" s="8">
        <f>F48+G48-H48-I48</f>
        <v/>
      </c>
      <c r="K48" s="12" t="n">
        <v>12</v>
      </c>
      <c r="L48" s="8">
        <f>IF(J48&lt;=0,"Rupture",IF(J48&lt;=K48,"Bas","OK"))</f>
        <v/>
      </c>
    </row>
    <row r="49">
      <c r="A49" s="8" t="n">
        <v>45</v>
      </c>
      <c r="B49" s="9" t="inlineStr">
        <is>
          <t>Du vin et des jeux</t>
        </is>
      </c>
      <c r="C49" s="9" t="inlineStr">
        <is>
          <t>Vin</t>
        </is>
      </c>
      <c r="D49" s="10" t="n">
        <v>5000</v>
      </c>
      <c r="E49" s="11">
        <f>D49</f>
        <v/>
      </c>
      <c r="F49" s="12" t="n">
        <v>0</v>
      </c>
      <c r="G49" s="12" t="n">
        <v>0</v>
      </c>
      <c r="H49" s="12" t="n">
        <v>0</v>
      </c>
      <c r="I49" s="12" t="n">
        <v>0</v>
      </c>
      <c r="J49" s="8">
        <f>F49+G49-H49-I49</f>
        <v/>
      </c>
      <c r="K49" s="12" t="n">
        <v>12</v>
      </c>
      <c r="L49" s="8">
        <f>IF(J49&lt;=0,"Rupture",IF(J49&lt;=K49,"Bas","OK"))</f>
        <v/>
      </c>
    </row>
    <row r="50">
      <c r="A50" s="8" t="n">
        <v>46</v>
      </c>
      <c r="B50" s="9" t="inlineStr">
        <is>
          <t>Thérapie de groupe</t>
        </is>
      </c>
      <c r="C50" s="9" t="inlineStr">
        <is>
          <t>Vin</t>
        </is>
      </c>
      <c r="D50" s="10" t="n">
        <v>5000</v>
      </c>
      <c r="E50" s="11">
        <f>D50</f>
        <v/>
      </c>
      <c r="F50" s="12" t="n">
        <v>0</v>
      </c>
      <c r="G50" s="12" t="n">
        <v>0</v>
      </c>
      <c r="H50" s="12" t="n">
        <v>0</v>
      </c>
      <c r="I50" s="12" t="n">
        <v>0</v>
      </c>
      <c r="J50" s="8">
        <f>F50+G50-H50-I50</f>
        <v/>
      </c>
      <c r="K50" s="12" t="n">
        <v>12</v>
      </c>
      <c r="L50" s="8">
        <f>IF(J50&lt;=0,"Rupture",IF(J50&lt;=K50,"Bas","OK"))</f>
        <v/>
      </c>
    </row>
    <row r="51">
      <c r="A51" s="8" t="n">
        <v>47</v>
      </c>
      <c r="B51" s="9" t="inlineStr">
        <is>
          <t>Vallformosa</t>
        </is>
      </c>
      <c r="C51" s="9" t="inlineStr">
        <is>
          <t>Vin</t>
        </is>
      </c>
      <c r="D51" s="10" t="n">
        <v>8500</v>
      </c>
      <c r="E51" s="11">
        <f>D51</f>
        <v/>
      </c>
      <c r="F51" s="12" t="n">
        <v>0</v>
      </c>
      <c r="G51" s="12" t="n">
        <v>0</v>
      </c>
      <c r="H51" s="12" t="n">
        <v>0</v>
      </c>
      <c r="I51" s="12" t="n">
        <v>0</v>
      </c>
      <c r="J51" s="8">
        <f>F51+G51-H51-I51</f>
        <v/>
      </c>
      <c r="K51" s="12" t="n">
        <v>12</v>
      </c>
      <c r="L51" s="8">
        <f>IF(J51&lt;=0,"Rupture",IF(J51&lt;=K51,"Bas","OK"))</f>
        <v/>
      </c>
    </row>
    <row r="52">
      <c r="A52" s="8" t="n">
        <v>48</v>
      </c>
      <c r="B52" s="9" t="inlineStr">
        <is>
          <t>Aria</t>
        </is>
      </c>
      <c r="C52" s="9" t="inlineStr">
        <is>
          <t>Vin</t>
        </is>
      </c>
      <c r="D52" s="10" t="n">
        <v>5000</v>
      </c>
      <c r="E52" s="11">
        <f>D52</f>
        <v/>
      </c>
      <c r="F52" s="12" t="n">
        <v>0</v>
      </c>
      <c r="G52" s="12" t="n">
        <v>0</v>
      </c>
      <c r="H52" s="12" t="n">
        <v>0</v>
      </c>
      <c r="I52" s="12" t="n">
        <v>0</v>
      </c>
      <c r="J52" s="8">
        <f>F52+G52-H52-I52</f>
        <v/>
      </c>
      <c r="K52" s="12" t="n">
        <v>12</v>
      </c>
      <c r="L52" s="8">
        <f>IF(J52&lt;=0,"Rupture",IF(J52&lt;=K52,"Bas","OK"))</f>
        <v/>
      </c>
    </row>
    <row r="53">
      <c r="A53" s="8" t="n">
        <v>49</v>
      </c>
      <c r="B53" s="9" t="inlineStr">
        <is>
          <t>Hacienda</t>
        </is>
      </c>
      <c r="C53" s="9" t="inlineStr">
        <is>
          <t>Vin</t>
        </is>
      </c>
      <c r="D53" s="10" t="n">
        <v>3500</v>
      </c>
      <c r="E53" s="11">
        <f>D53</f>
        <v/>
      </c>
      <c r="F53" s="12" t="n">
        <v>0</v>
      </c>
      <c r="G53" s="12" t="n">
        <v>0</v>
      </c>
      <c r="H53" s="12" t="n">
        <v>0</v>
      </c>
      <c r="I53" s="12" t="n">
        <v>0</v>
      </c>
      <c r="J53" s="8">
        <f>F53+G53-H53-I53</f>
        <v/>
      </c>
      <c r="K53" s="12" t="n">
        <v>12</v>
      </c>
      <c r="L53" s="8">
        <f>IF(J53&lt;=0,"Rupture",IF(J53&lt;=K53,"Bas","OK"))</f>
        <v/>
      </c>
    </row>
    <row r="54">
      <c r="A54" s="8" t="n">
        <v>50</v>
      </c>
      <c r="B54" s="9" t="inlineStr">
        <is>
          <t>Grand versant</t>
        </is>
      </c>
      <c r="C54" s="9" t="inlineStr">
        <is>
          <t>Vin</t>
        </is>
      </c>
      <c r="D54" s="10" t="n">
        <v>5000</v>
      </c>
      <c r="E54" s="11">
        <f>D54</f>
        <v/>
      </c>
      <c r="F54" s="12" t="n">
        <v>0</v>
      </c>
      <c r="G54" s="12" t="n">
        <v>0</v>
      </c>
      <c r="H54" s="12" t="n">
        <v>0</v>
      </c>
      <c r="I54" s="12" t="n">
        <v>0</v>
      </c>
      <c r="J54" s="8">
        <f>F54+G54-H54-I54</f>
        <v/>
      </c>
      <c r="K54" s="12" t="n">
        <v>12</v>
      </c>
      <c r="L54" s="8">
        <f>IF(J54&lt;=0,"Rupture",IF(J54&lt;=K54,"Bas","OK"))</f>
        <v/>
      </c>
    </row>
    <row r="55">
      <c r="A55" s="8" t="n">
        <v>51</v>
      </c>
      <c r="B55" s="9" t="inlineStr">
        <is>
          <t>JP chenet</t>
        </is>
      </c>
      <c r="C55" s="9" t="inlineStr">
        <is>
          <t>Vin</t>
        </is>
      </c>
      <c r="D55" s="10" t="n">
        <v>5000</v>
      </c>
      <c r="E55" s="11">
        <f>D55</f>
        <v/>
      </c>
      <c r="F55" s="12" t="n">
        <v>0</v>
      </c>
      <c r="G55" s="12" t="n">
        <v>0</v>
      </c>
      <c r="H55" s="12" t="n">
        <v>0</v>
      </c>
      <c r="I55" s="12" t="n">
        <v>0</v>
      </c>
      <c r="J55" s="8">
        <f>F55+G55-H55-I55</f>
        <v/>
      </c>
      <c r="K55" s="12" t="n">
        <v>12</v>
      </c>
      <c r="L55" s="8">
        <f>IF(J55&lt;=0,"Rupture",IF(J55&lt;=K55,"Bas","OK"))</f>
        <v/>
      </c>
    </row>
    <row r="56">
      <c r="A56" s="8" t="n">
        <v>52</v>
      </c>
      <c r="B56" s="9" t="inlineStr">
        <is>
          <t>Muscador</t>
        </is>
      </c>
      <c r="C56" s="9" t="inlineStr">
        <is>
          <t>Vin</t>
        </is>
      </c>
      <c r="D56" s="10" t="n">
        <v>4000</v>
      </c>
      <c r="E56" s="11">
        <f>D56</f>
        <v/>
      </c>
      <c r="F56" s="12" t="n">
        <v>0</v>
      </c>
      <c r="G56" s="12" t="n">
        <v>0</v>
      </c>
      <c r="H56" s="12" t="n">
        <v>0</v>
      </c>
      <c r="I56" s="12" t="n">
        <v>0</v>
      </c>
      <c r="J56" s="8">
        <f>F56+G56-H56-I56</f>
        <v/>
      </c>
      <c r="K56" s="12" t="n">
        <v>12</v>
      </c>
      <c r="L56" s="8">
        <f>IF(J56&lt;=0,"Rupture",IF(J56&lt;=K56,"Bas","OK"))</f>
        <v/>
      </c>
    </row>
    <row r="57">
      <c r="A57" s="8" t="n">
        <v>53</v>
      </c>
      <c r="B57" s="9" t="inlineStr">
        <is>
          <t>Mouton Cadet</t>
        </is>
      </c>
      <c r="C57" s="9" t="inlineStr">
        <is>
          <t>Vin</t>
        </is>
      </c>
      <c r="D57" s="10" t="n">
        <v>9000</v>
      </c>
      <c r="E57" s="11">
        <f>D57</f>
        <v/>
      </c>
      <c r="F57" s="12" t="n">
        <v>0</v>
      </c>
      <c r="G57" s="12" t="n">
        <v>0</v>
      </c>
      <c r="H57" s="12" t="n">
        <v>0</v>
      </c>
      <c r="I57" s="12" t="n">
        <v>0</v>
      </c>
      <c r="J57" s="8">
        <f>F57+G57-H57-I57</f>
        <v/>
      </c>
      <c r="K57" s="12" t="n">
        <v>12</v>
      </c>
      <c r="L57" s="8">
        <f>IF(J57&lt;=0,"Rupture",IF(J57&lt;=K57,"Bas","OK"))</f>
        <v/>
      </c>
    </row>
    <row r="58">
      <c r="A58" s="8" t="n">
        <v>54</v>
      </c>
      <c r="B58" s="9" t="inlineStr">
        <is>
          <t>Asconi</t>
        </is>
      </c>
      <c r="C58" s="9" t="inlineStr">
        <is>
          <t>Vin</t>
        </is>
      </c>
      <c r="D58" s="10" t="n">
        <v>6000</v>
      </c>
      <c r="E58" s="11">
        <f>D58</f>
        <v/>
      </c>
      <c r="F58" s="12" t="n">
        <v>0</v>
      </c>
      <c r="G58" s="12" t="n">
        <v>0</v>
      </c>
      <c r="H58" s="12" t="n">
        <v>0</v>
      </c>
      <c r="I58" s="12" t="n">
        <v>0</v>
      </c>
      <c r="J58" s="8">
        <f>F58+G58-H58-I58</f>
        <v/>
      </c>
      <c r="K58" s="12" t="n">
        <v>12</v>
      </c>
      <c r="L58" s="8">
        <f>IF(J58&lt;=0,"Rupture",IF(J58&lt;=K58,"Bas","OK"))</f>
        <v/>
      </c>
    </row>
    <row r="59">
      <c r="A59" s="8" t="n">
        <v>55</v>
      </c>
      <c r="B59" s="9" t="inlineStr">
        <is>
          <t>Old beaver</t>
        </is>
      </c>
      <c r="C59" s="9" t="inlineStr">
        <is>
          <t>Vin</t>
        </is>
      </c>
      <c r="D59" s="10" t="n">
        <v>5000</v>
      </c>
      <c r="E59" s="11">
        <f>D59</f>
        <v/>
      </c>
      <c r="F59" s="12" t="n">
        <v>0</v>
      </c>
      <c r="G59" s="12" t="n">
        <v>0</v>
      </c>
      <c r="H59" s="12" t="n">
        <v>0</v>
      </c>
      <c r="I59" s="12" t="n">
        <v>0</v>
      </c>
      <c r="J59" s="8">
        <f>F59+G59-H59-I59</f>
        <v/>
      </c>
      <c r="K59" s="12" t="n">
        <v>12</v>
      </c>
      <c r="L59" s="8">
        <f>IF(J59&lt;=0,"Rupture",IF(J59&lt;=K59,"Bas","OK"))</f>
        <v/>
      </c>
    </row>
    <row r="60">
      <c r="A60" s="8" t="n">
        <v>56</v>
      </c>
      <c r="B60" s="9" t="inlineStr">
        <is>
          <t>Haut Machel</t>
        </is>
      </c>
      <c r="C60" s="9" t="inlineStr">
        <is>
          <t>Vin</t>
        </is>
      </c>
      <c r="D60" s="10" t="n">
        <v>2500</v>
      </c>
      <c r="E60" s="11">
        <f>D60</f>
        <v/>
      </c>
      <c r="F60" s="12" t="n">
        <v>0</v>
      </c>
      <c r="G60" s="12" t="n">
        <v>0</v>
      </c>
      <c r="H60" s="12" t="n">
        <v>0</v>
      </c>
      <c r="I60" s="12" t="n">
        <v>0</v>
      </c>
      <c r="J60" s="8">
        <f>F60+G60-H60-I60</f>
        <v/>
      </c>
      <c r="K60" s="12" t="n">
        <v>12</v>
      </c>
      <c r="L60" s="8">
        <f>IF(J60&lt;=0,"Rupture",IF(J60&lt;=K60,"Bas","OK"))</f>
        <v/>
      </c>
    </row>
    <row r="61">
      <c r="A61" s="8" t="n">
        <v>57</v>
      </c>
      <c r="B61" s="9" t="inlineStr">
        <is>
          <t>Baron de Senac</t>
        </is>
      </c>
      <c r="C61" s="9" t="inlineStr">
        <is>
          <t>Vin</t>
        </is>
      </c>
      <c r="D61" s="10" t="n">
        <v>2500</v>
      </c>
      <c r="E61" s="11">
        <f>D61</f>
        <v/>
      </c>
      <c r="F61" s="12" t="n">
        <v>0</v>
      </c>
      <c r="G61" s="12" t="n">
        <v>0</v>
      </c>
      <c r="H61" s="12" t="n">
        <v>0</v>
      </c>
      <c r="I61" s="12" t="n">
        <v>0</v>
      </c>
      <c r="J61" s="8">
        <f>F61+G61-H61-I61</f>
        <v/>
      </c>
      <c r="K61" s="12" t="n">
        <v>12</v>
      </c>
      <c r="L61" s="8">
        <f>IF(J61&lt;=0,"Rupture",IF(J61&lt;=K61,"Bas","OK"))</f>
        <v/>
      </c>
    </row>
    <row r="62">
      <c r="A62" s="8" t="n">
        <v>58</v>
      </c>
      <c r="B62" s="9" t="inlineStr">
        <is>
          <t>Jardin des amoureux</t>
        </is>
      </c>
      <c r="C62" s="9" t="inlineStr">
        <is>
          <t>Vin</t>
        </is>
      </c>
      <c r="D62" s="10" t="n">
        <v>3000</v>
      </c>
      <c r="E62" s="11">
        <f>D62</f>
        <v/>
      </c>
      <c r="F62" s="12" t="n">
        <v>0</v>
      </c>
      <c r="G62" s="12" t="n">
        <v>0</v>
      </c>
      <c r="H62" s="12" t="n">
        <v>0</v>
      </c>
      <c r="I62" s="12" t="n">
        <v>0</v>
      </c>
      <c r="J62" s="8">
        <f>F62+G62-H62-I62</f>
        <v/>
      </c>
      <c r="K62" s="12" t="n">
        <v>12</v>
      </c>
      <c r="L62" s="8">
        <f>IF(J62&lt;=0,"Rupture",IF(J62&lt;=K62,"Bas","OK"))</f>
        <v/>
      </c>
    </row>
    <row r="63">
      <c r="A63" s="8" t="n">
        <v>59</v>
      </c>
      <c r="B63" s="9" t="inlineStr">
        <is>
          <t>Baron de Romero</t>
        </is>
      </c>
      <c r="C63" s="9" t="inlineStr">
        <is>
          <t>Vin</t>
        </is>
      </c>
      <c r="D63" s="10" t="n">
        <v>2500</v>
      </c>
      <c r="E63" s="11">
        <f>D63</f>
        <v/>
      </c>
      <c r="F63" s="12" t="n">
        <v>0</v>
      </c>
      <c r="G63" s="12" t="n">
        <v>0</v>
      </c>
      <c r="H63" s="12" t="n">
        <v>0</v>
      </c>
      <c r="I63" s="12" t="n">
        <v>0</v>
      </c>
      <c r="J63" s="8">
        <f>F63+G63-H63-I63</f>
        <v/>
      </c>
      <c r="K63" s="12" t="n">
        <v>12</v>
      </c>
      <c r="L63" s="8">
        <f>IF(J63&lt;=0,"Rupture",IF(J63&lt;=K63,"Bas","OK"))</f>
        <v/>
      </c>
    </row>
    <row r="64">
      <c r="A64" s="8" t="n">
        <v>60</v>
      </c>
      <c r="B64" s="9" t="inlineStr">
        <is>
          <t>Fiesta</t>
        </is>
      </c>
      <c r="C64" s="9" t="inlineStr">
        <is>
          <t>Vin</t>
        </is>
      </c>
      <c r="D64" s="10" t="n">
        <v>2000</v>
      </c>
      <c r="E64" s="11">
        <f>D64</f>
        <v/>
      </c>
      <c r="F64" s="12" t="n">
        <v>0</v>
      </c>
      <c r="G64" s="12" t="n">
        <v>0</v>
      </c>
      <c r="H64" s="12" t="n">
        <v>0</v>
      </c>
      <c r="I64" s="12" t="n">
        <v>0</v>
      </c>
      <c r="J64" s="8">
        <f>F64+G64-H64-I64</f>
        <v/>
      </c>
      <c r="K64" s="12" t="n">
        <v>12</v>
      </c>
      <c r="L64" s="8">
        <f>IF(J64&lt;=0,"Rupture",IF(J64&lt;=K64,"Bas","OK"))</f>
        <v/>
      </c>
    </row>
    <row r="65">
      <c r="A65" s="8" t="n">
        <v>61</v>
      </c>
      <c r="B65" s="9" t="inlineStr">
        <is>
          <t>Magic</t>
        </is>
      </c>
      <c r="C65" s="9" t="inlineStr">
        <is>
          <t>Vin</t>
        </is>
      </c>
      <c r="D65" s="10" t="n">
        <v>2000</v>
      </c>
      <c r="E65" s="11">
        <f>D65</f>
        <v/>
      </c>
      <c r="F65" s="12" t="n">
        <v>0</v>
      </c>
      <c r="G65" s="12" t="n">
        <v>0</v>
      </c>
      <c r="H65" s="12" t="n">
        <v>0</v>
      </c>
      <c r="I65" s="12" t="n">
        <v>0</v>
      </c>
      <c r="J65" s="8">
        <f>F65+G65-H65-I65</f>
        <v/>
      </c>
      <c r="K65" s="12" t="n">
        <v>12</v>
      </c>
      <c r="L65" s="8">
        <f>IF(J65&lt;=0,"Rupture",IF(J65&lt;=K65,"Bas","OK"))</f>
        <v/>
      </c>
    </row>
    <row r="66">
      <c r="A66" s="8" t="n">
        <v>62</v>
      </c>
      <c r="B66" s="9" t="inlineStr">
        <is>
          <t>Martini</t>
        </is>
      </c>
      <c r="C66" s="9" t="inlineStr">
        <is>
          <t>Vin</t>
        </is>
      </c>
      <c r="D66" s="10" t="n">
        <v>6000</v>
      </c>
      <c r="E66" s="11">
        <f>D66</f>
        <v/>
      </c>
      <c r="F66" s="12" t="n">
        <v>0</v>
      </c>
      <c r="G66" s="12" t="n">
        <v>0</v>
      </c>
      <c r="H66" s="12" t="n">
        <v>0</v>
      </c>
      <c r="I66" s="12" t="n">
        <v>0</v>
      </c>
      <c r="J66" s="8">
        <f>F66+G66-H66-I66</f>
        <v/>
      </c>
      <c r="K66" s="12" t="n">
        <v>12</v>
      </c>
      <c r="L66" s="8">
        <f>IF(J66&lt;=0,"Rupture",IF(J66&lt;=K66,"Bas","OK"))</f>
        <v/>
      </c>
    </row>
    <row r="67">
      <c r="A67" s="8" t="n">
        <v>63</v>
      </c>
      <c r="B67" s="9" t="inlineStr">
        <is>
          <t>Bella Tavola</t>
        </is>
      </c>
      <c r="C67" s="9" t="inlineStr">
        <is>
          <t>Vin</t>
        </is>
      </c>
      <c r="D67" s="10" t="n">
        <v>6000</v>
      </c>
      <c r="E67" s="11">
        <f>D67</f>
        <v/>
      </c>
      <c r="F67" s="12" t="n">
        <v>0</v>
      </c>
      <c r="G67" s="12" t="n">
        <v>0</v>
      </c>
      <c r="H67" s="12" t="n">
        <v>0</v>
      </c>
      <c r="I67" s="12" t="n">
        <v>0</v>
      </c>
      <c r="J67" s="8">
        <f>F67+G67-H67-I67</f>
        <v/>
      </c>
      <c r="K67" s="12" t="n">
        <v>12</v>
      </c>
      <c r="L67" s="8">
        <f>IF(J67&lt;=0,"Rupture",IF(J67&lt;=K67,"Bas","OK"))</f>
        <v/>
      </c>
    </row>
    <row r="68">
      <c r="A68" s="8" t="n">
        <v>64</v>
      </c>
      <c r="B68" s="9" t="inlineStr">
        <is>
          <t>Les Gardielles</t>
        </is>
      </c>
      <c r="C68" s="9" t="inlineStr">
        <is>
          <t>Vin</t>
        </is>
      </c>
      <c r="D68" s="10" t="n">
        <v>5000</v>
      </c>
      <c r="E68" s="11">
        <f>D68</f>
        <v/>
      </c>
      <c r="F68" s="12" t="n">
        <v>0</v>
      </c>
      <c r="G68" s="12" t="n">
        <v>0</v>
      </c>
      <c r="H68" s="12" t="n">
        <v>0</v>
      </c>
      <c r="I68" s="12" t="n">
        <v>0</v>
      </c>
      <c r="J68" s="8">
        <f>F68+G68-H68-I68</f>
        <v/>
      </c>
      <c r="K68" s="12" t="n">
        <v>12</v>
      </c>
      <c r="L68" s="8">
        <f>IF(J68&lt;=0,"Rupture",IF(J68&lt;=K68,"Bas","OK"))</f>
        <v/>
      </c>
    </row>
    <row r="69">
      <c r="A69" s="8" t="n">
        <v>65</v>
      </c>
      <c r="B69" s="9" t="inlineStr">
        <is>
          <t>Pied d'argent</t>
        </is>
      </c>
      <c r="C69" s="9" t="inlineStr">
        <is>
          <t>Vin</t>
        </is>
      </c>
      <c r="D69" s="10" t="n">
        <v>7000</v>
      </c>
      <c r="E69" s="11">
        <f>D69</f>
        <v/>
      </c>
      <c r="F69" s="12" t="n">
        <v>0</v>
      </c>
      <c r="G69" s="12" t="n">
        <v>0</v>
      </c>
      <c r="H69" s="12" t="n">
        <v>0</v>
      </c>
      <c r="I69" s="12" t="n">
        <v>0</v>
      </c>
      <c r="J69" s="8">
        <f>F69+G69-H69-I69</f>
        <v/>
      </c>
      <c r="K69" s="12" t="n">
        <v>12</v>
      </c>
      <c r="L69" s="8">
        <f>IF(J69&lt;=0,"Rupture",IF(J69&lt;=K69,"Bas","OK"))</f>
        <v/>
      </c>
    </row>
    <row r="70">
      <c r="A70" s="8" t="n">
        <v>66</v>
      </c>
      <c r="B70" s="9" t="inlineStr">
        <is>
          <t>RLG</t>
        </is>
      </c>
      <c r="C70" s="9" t="inlineStr">
        <is>
          <t>Vin</t>
        </is>
      </c>
      <c r="D70" s="10" t="n">
        <v>5000</v>
      </c>
      <c r="E70" s="11">
        <f>D70</f>
        <v/>
      </c>
      <c r="F70" s="12" t="n">
        <v>0</v>
      </c>
      <c r="G70" s="12" t="n">
        <v>0</v>
      </c>
      <c r="H70" s="12" t="n">
        <v>0</v>
      </c>
      <c r="I70" s="12" t="n">
        <v>0</v>
      </c>
      <c r="J70" s="8">
        <f>F70+G70-H70-I70</f>
        <v/>
      </c>
      <c r="K70" s="12" t="n">
        <v>12</v>
      </c>
      <c r="L70" s="8">
        <f>IF(J70&lt;=0,"Rupture",IF(J70&lt;=K70,"Bas","OK"))</f>
        <v/>
      </c>
    </row>
    <row r="71">
      <c r="A71" s="8" t="n">
        <v>67</v>
      </c>
      <c r="B71" s="9" t="inlineStr">
        <is>
          <t>Cote de Rhone</t>
        </is>
      </c>
      <c r="C71" s="9" t="inlineStr">
        <is>
          <t>Vin</t>
        </is>
      </c>
      <c r="D71" s="10" t="n">
        <v>6000</v>
      </c>
      <c r="E71" s="11">
        <f>D71</f>
        <v/>
      </c>
      <c r="F71" s="12" t="n">
        <v>0</v>
      </c>
      <c r="G71" s="12" t="n">
        <v>0</v>
      </c>
      <c r="H71" s="12" t="n">
        <v>0</v>
      </c>
      <c r="I71" s="12" t="n">
        <v>0</v>
      </c>
      <c r="J71" s="8">
        <f>F71+G71-H71-I71</f>
        <v/>
      </c>
      <c r="K71" s="12" t="n">
        <v>12</v>
      </c>
      <c r="L71" s="8">
        <f>IF(J71&lt;=0,"Rupture",IF(J71&lt;=K71,"Bas","OK"))</f>
        <v/>
      </c>
    </row>
    <row r="72">
      <c r="A72" s="8" t="n">
        <v>68</v>
      </c>
      <c r="B72" s="9" t="inlineStr">
        <is>
          <t>Portal Braz</t>
        </is>
      </c>
      <c r="C72" s="9" t="inlineStr">
        <is>
          <t>Vin</t>
        </is>
      </c>
      <c r="D72" s="10" t="n">
        <v>6000</v>
      </c>
      <c r="E72" s="11">
        <f>D72</f>
        <v/>
      </c>
      <c r="F72" s="12" t="n">
        <v>0</v>
      </c>
      <c r="G72" s="12" t="n">
        <v>0</v>
      </c>
      <c r="H72" s="12" t="n">
        <v>0</v>
      </c>
      <c r="I72" s="12" t="n">
        <v>0</v>
      </c>
      <c r="J72" s="8">
        <f>F72+G72-H72-I72</f>
        <v/>
      </c>
      <c r="K72" s="12" t="n">
        <v>12</v>
      </c>
      <c r="L72" s="8">
        <f>IF(J72&lt;=0,"Rupture",IF(J72&lt;=K72,"Bas","OK"))</f>
        <v/>
      </c>
    </row>
    <row r="73">
      <c r="A73" s="8" t="n">
        <v>69</v>
      </c>
      <c r="B73" s="9" t="inlineStr">
        <is>
          <t>Terres légendaires</t>
        </is>
      </c>
      <c r="C73" s="9" t="inlineStr">
        <is>
          <t>Vin</t>
        </is>
      </c>
      <c r="D73" s="10" t="n">
        <v>6000</v>
      </c>
      <c r="E73" s="11">
        <f>D73</f>
        <v/>
      </c>
      <c r="F73" s="12" t="n">
        <v>0</v>
      </c>
      <c r="G73" s="12" t="n">
        <v>0</v>
      </c>
      <c r="H73" s="12" t="n">
        <v>0</v>
      </c>
      <c r="I73" s="12" t="n">
        <v>0</v>
      </c>
      <c r="J73" s="8">
        <f>F73+G73-H73-I73</f>
        <v/>
      </c>
      <c r="K73" s="12" t="n">
        <v>12</v>
      </c>
      <c r="L73" s="8">
        <f>IF(J73&lt;=0,"Rupture",IF(J73&lt;=K73,"Bas","OK"))</f>
        <v/>
      </c>
    </row>
    <row r="74">
      <c r="A74" s="8" t="n">
        <v>70</v>
      </c>
      <c r="B74" s="9" t="inlineStr">
        <is>
          <t>Bellerives</t>
        </is>
      </c>
      <c r="C74" s="9" t="inlineStr">
        <is>
          <t>Vin</t>
        </is>
      </c>
      <c r="D74" s="10" t="n">
        <v>6000</v>
      </c>
      <c r="E74" s="11">
        <f>D74</f>
        <v/>
      </c>
      <c r="F74" s="12" t="n">
        <v>0</v>
      </c>
      <c r="G74" s="12" t="n">
        <v>0</v>
      </c>
      <c r="H74" s="12" t="n">
        <v>0</v>
      </c>
      <c r="I74" s="12" t="n">
        <v>0</v>
      </c>
      <c r="J74" s="8">
        <f>F74+G74-H74-I74</f>
        <v/>
      </c>
      <c r="K74" s="12" t="n">
        <v>12</v>
      </c>
      <c r="L74" s="8">
        <f>IF(J74&lt;=0,"Rupture",IF(J74&lt;=K74,"Bas","OK"))</f>
        <v/>
      </c>
    </row>
    <row r="75">
      <c r="A75" s="8" t="n">
        <v>71</v>
      </c>
      <c r="B75" s="9" t="inlineStr">
        <is>
          <t>Jas d'Estanquet</t>
        </is>
      </c>
      <c r="C75" s="9" t="inlineStr">
        <is>
          <t>Vin</t>
        </is>
      </c>
      <c r="D75" s="10" t="n">
        <v>5000</v>
      </c>
      <c r="E75" s="11">
        <f>D75</f>
        <v/>
      </c>
      <c r="F75" s="12" t="n">
        <v>0</v>
      </c>
      <c r="G75" s="12" t="n">
        <v>0</v>
      </c>
      <c r="H75" s="12" t="n">
        <v>0</v>
      </c>
      <c r="I75" s="12" t="n">
        <v>0</v>
      </c>
      <c r="J75" s="8">
        <f>F75+G75-H75-I75</f>
        <v/>
      </c>
      <c r="K75" s="12" t="n">
        <v>12</v>
      </c>
      <c r="L75" s="8">
        <f>IF(J75&lt;=0,"Rupture",IF(J75&lt;=K75,"Bas","OK"))</f>
        <v/>
      </c>
    </row>
    <row r="76">
      <c r="A76" s="8" t="n">
        <v>72</v>
      </c>
      <c r="B76" s="9" t="inlineStr">
        <is>
          <t>Montmeyrac</t>
        </is>
      </c>
      <c r="C76" s="9" t="inlineStr">
        <is>
          <t>Vin</t>
        </is>
      </c>
      <c r="D76" s="10" t="n">
        <v>5000</v>
      </c>
      <c r="E76" s="11">
        <f>D76</f>
        <v/>
      </c>
      <c r="F76" s="12" t="n">
        <v>0</v>
      </c>
      <c r="G76" s="12" t="n">
        <v>0</v>
      </c>
      <c r="H76" s="12" t="n">
        <v>0</v>
      </c>
      <c r="I76" s="12" t="n">
        <v>0</v>
      </c>
      <c r="J76" s="8">
        <f>F76+G76-H76-I76</f>
        <v/>
      </c>
      <c r="K76" s="12" t="n">
        <v>12</v>
      </c>
      <c r="L76" s="8">
        <f>IF(J76&lt;=0,"Rupture",IF(J76&lt;=K76,"Bas","OK"))</f>
        <v/>
      </c>
    </row>
    <row r="77">
      <c r="A77" s="8" t="n">
        <v>73</v>
      </c>
      <c r="B77" s="9" t="inlineStr">
        <is>
          <t>Fifty 50</t>
        </is>
      </c>
      <c r="C77" s="9" t="inlineStr">
        <is>
          <t>Vin</t>
        </is>
      </c>
      <c r="D77" s="10" t="n">
        <v>5000</v>
      </c>
      <c r="E77" s="11">
        <f>D77</f>
        <v/>
      </c>
      <c r="F77" s="12" t="n">
        <v>0</v>
      </c>
      <c r="G77" s="12" t="n">
        <v>0</v>
      </c>
      <c r="H77" s="12" t="n">
        <v>0</v>
      </c>
      <c r="I77" s="12" t="n">
        <v>0</v>
      </c>
      <c r="J77" s="8">
        <f>F77+G77-H77-I77</f>
        <v/>
      </c>
      <c r="K77" s="12" t="n">
        <v>12</v>
      </c>
      <c r="L77" s="8">
        <f>IF(J77&lt;=0,"Rupture",IF(J77&lt;=K77,"Bas","OK"))</f>
        <v/>
      </c>
    </row>
    <row r="78">
      <c r="A78" s="8" t="n">
        <v>74</v>
      </c>
      <c r="B78" s="9" t="inlineStr">
        <is>
          <t>Lamorosso</t>
        </is>
      </c>
      <c r="C78" s="9" t="inlineStr">
        <is>
          <t>Vin</t>
        </is>
      </c>
      <c r="D78" s="10" t="n">
        <v>7000</v>
      </c>
      <c r="E78" s="11">
        <f>D78</f>
        <v/>
      </c>
      <c r="F78" s="12" t="n">
        <v>0</v>
      </c>
      <c r="G78" s="12" t="n">
        <v>0</v>
      </c>
      <c r="H78" s="12" t="n">
        <v>0</v>
      </c>
      <c r="I78" s="12" t="n">
        <v>0</v>
      </c>
      <c r="J78" s="8">
        <f>F78+G78-H78-I78</f>
        <v/>
      </c>
      <c r="K78" s="12" t="n">
        <v>12</v>
      </c>
      <c r="L78" s="8">
        <f>IF(J78&lt;=0,"Rupture",IF(J78&lt;=K78,"Bas","OK"))</f>
        <v/>
      </c>
    </row>
    <row r="79">
      <c r="A79" s="8" t="n">
        <v>75</v>
      </c>
      <c r="B79" s="9" t="inlineStr">
        <is>
          <t>Du bonnet</t>
        </is>
      </c>
      <c r="C79" s="9" t="inlineStr">
        <is>
          <t>Vin</t>
        </is>
      </c>
      <c r="D79" s="10" t="n">
        <v>7000</v>
      </c>
      <c r="E79" s="11">
        <f>D79</f>
        <v/>
      </c>
      <c r="F79" s="12" t="n">
        <v>0</v>
      </c>
      <c r="G79" s="12" t="n">
        <v>0</v>
      </c>
      <c r="H79" s="12" t="n">
        <v>0</v>
      </c>
      <c r="I79" s="12" t="n">
        <v>0</v>
      </c>
      <c r="J79" s="8">
        <f>F79+G79-H79-I79</f>
        <v/>
      </c>
      <c r="K79" s="12" t="n">
        <v>12</v>
      </c>
      <c r="L79" s="8">
        <f>IF(J79&lt;=0,"Rupture",IF(J79&lt;=K79,"Bas","OK"))</f>
        <v/>
      </c>
    </row>
    <row r="80">
      <c r="A80" s="8" t="n">
        <v>76</v>
      </c>
      <c r="B80" s="9" t="inlineStr">
        <is>
          <t>Petite Baie</t>
        </is>
      </c>
      <c r="C80" s="9" t="inlineStr">
        <is>
          <t>Vin</t>
        </is>
      </c>
      <c r="D80" s="10" t="n">
        <v>5000</v>
      </c>
      <c r="E80" s="11">
        <f>D80</f>
        <v/>
      </c>
      <c r="F80" s="12" t="n">
        <v>0</v>
      </c>
      <c r="G80" s="12" t="n">
        <v>0</v>
      </c>
      <c r="H80" s="12" t="n">
        <v>0</v>
      </c>
      <c r="I80" s="12" t="n">
        <v>0</v>
      </c>
      <c r="J80" s="8">
        <f>F80+G80-H80-I80</f>
        <v/>
      </c>
      <c r="K80" s="12" t="n">
        <v>12</v>
      </c>
      <c r="L80" s="8">
        <f>IF(J80&lt;=0,"Rupture",IF(J80&lt;=K80,"Bas","OK"))</f>
        <v/>
      </c>
    </row>
    <row r="81">
      <c r="A81" s="8" t="n">
        <v>77</v>
      </c>
      <c r="B81" s="9" t="inlineStr">
        <is>
          <t>Dennis</t>
        </is>
      </c>
      <c r="C81" s="9" t="inlineStr">
        <is>
          <t>Wisky</t>
        </is>
      </c>
      <c r="D81" s="10" t="n">
        <v>2500</v>
      </c>
      <c r="E81" s="11">
        <f>D81</f>
        <v/>
      </c>
      <c r="F81" s="12" t="n">
        <v>0</v>
      </c>
      <c r="G81" s="12" t="n">
        <v>0</v>
      </c>
      <c r="H81" s="12" t="n">
        <v>0</v>
      </c>
      <c r="I81" s="12" t="n">
        <v>0</v>
      </c>
      <c r="J81" s="8">
        <f>F81+G81-H81-I81</f>
        <v/>
      </c>
      <c r="K81" s="12" t="n">
        <v>12</v>
      </c>
      <c r="L81" s="8">
        <f>IF(J81&lt;=0,"Rupture",IF(J81&lt;=K81,"Bas","OK"))</f>
        <v/>
      </c>
    </row>
    <row r="82">
      <c r="A82" s="8" t="n">
        <v>78</v>
      </c>
      <c r="B82" s="9" t="inlineStr">
        <is>
          <t>White&amp;Bue</t>
        </is>
      </c>
      <c r="C82" s="9" t="inlineStr">
        <is>
          <t>Wisky</t>
        </is>
      </c>
      <c r="D82" s="10" t="n">
        <v>3500</v>
      </c>
      <c r="E82" s="11">
        <f>D82</f>
        <v/>
      </c>
      <c r="F82" s="12" t="n">
        <v>0</v>
      </c>
      <c r="G82" s="12" t="n">
        <v>0</v>
      </c>
      <c r="H82" s="12" t="n">
        <v>0</v>
      </c>
      <c r="I82" s="12" t="n">
        <v>0</v>
      </c>
      <c r="J82" s="8">
        <f>F82+G82-H82-I82</f>
        <v/>
      </c>
      <c r="K82" s="12" t="n">
        <v>12</v>
      </c>
      <c r="L82" s="8">
        <f>IF(J82&lt;=0,"Rupture",IF(J82&lt;=K82,"Bas","OK"))</f>
        <v/>
      </c>
    </row>
    <row r="83">
      <c r="A83" s="8" t="n">
        <v>79</v>
      </c>
      <c r="B83" s="9" t="inlineStr">
        <is>
          <t>Wall street</t>
        </is>
      </c>
      <c r="C83" s="9" t="inlineStr">
        <is>
          <t>Wisky</t>
        </is>
      </c>
      <c r="D83" s="10" t="n">
        <v>2500</v>
      </c>
      <c r="E83" s="11">
        <f>D83</f>
        <v/>
      </c>
      <c r="F83" s="12" t="n">
        <v>0</v>
      </c>
      <c r="G83" s="12" t="n">
        <v>0</v>
      </c>
      <c r="H83" s="12" t="n">
        <v>0</v>
      </c>
      <c r="I83" s="12" t="n">
        <v>0</v>
      </c>
      <c r="J83" s="8">
        <f>F83+G83-H83-I83</f>
        <v/>
      </c>
      <c r="K83" s="12" t="n">
        <v>12</v>
      </c>
      <c r="L83" s="8">
        <f>IF(J83&lt;=0,"Rupture",IF(J83&lt;=K83,"Bas","OK"))</f>
        <v/>
      </c>
    </row>
    <row r="84">
      <c r="A84" s="8" t="n">
        <v>80</v>
      </c>
      <c r="B84" s="9" t="inlineStr">
        <is>
          <t>Blue Funeste</t>
        </is>
      </c>
      <c r="C84" s="9" t="inlineStr">
        <is>
          <t>Wisky</t>
        </is>
      </c>
      <c r="D84" s="10" t="n">
        <v>3000</v>
      </c>
      <c r="E84" s="11">
        <f>D84</f>
        <v/>
      </c>
      <c r="F84" s="12" t="n">
        <v>0</v>
      </c>
      <c r="G84" s="12" t="n">
        <v>0</v>
      </c>
      <c r="H84" s="12" t="n">
        <v>0</v>
      </c>
      <c r="I84" s="12" t="n">
        <v>0</v>
      </c>
      <c r="J84" s="8">
        <f>F84+G84-H84-I84</f>
        <v/>
      </c>
      <c r="K84" s="12" t="n">
        <v>12</v>
      </c>
      <c r="L84" s="8">
        <f>IF(J84&lt;=0,"Rupture",IF(J84&lt;=K84,"Bas","OK"))</f>
        <v/>
      </c>
    </row>
    <row r="85">
      <c r="A85" s="8" t="n">
        <v>81</v>
      </c>
      <c r="B85" s="9" t="inlineStr">
        <is>
          <t>Jack 10</t>
        </is>
      </c>
      <c r="C85" s="9" t="inlineStr">
        <is>
          <t>Wisky</t>
        </is>
      </c>
      <c r="D85" s="10" t="n">
        <v>3000</v>
      </c>
      <c r="E85" s="11">
        <f>D85</f>
        <v/>
      </c>
      <c r="F85" s="12" t="n">
        <v>0</v>
      </c>
      <c r="G85" s="12" t="n">
        <v>0</v>
      </c>
      <c r="H85" s="12" t="n">
        <v>0</v>
      </c>
      <c r="I85" s="12" t="n">
        <v>0</v>
      </c>
      <c r="J85" s="8">
        <f>F85+G85-H85-I85</f>
        <v/>
      </c>
      <c r="K85" s="12" t="n">
        <v>12</v>
      </c>
      <c r="L85" s="8">
        <f>IF(J85&lt;=0,"Rupture",IF(J85&lt;=K85,"Bas","OK"))</f>
        <v/>
      </c>
    </row>
    <row r="86">
      <c r="A86" s="8" t="n">
        <v>82</v>
      </c>
      <c r="B86" s="9" t="inlineStr">
        <is>
          <t>Vodka</t>
        </is>
      </c>
      <c r="C86" s="9" t="inlineStr">
        <is>
          <t>Wisky</t>
        </is>
      </c>
      <c r="D86" s="10" t="n">
        <v>9000</v>
      </c>
      <c r="E86" s="11">
        <f>D86</f>
        <v/>
      </c>
      <c r="F86" s="12" t="n">
        <v>0</v>
      </c>
      <c r="G86" s="12" t="n">
        <v>0</v>
      </c>
      <c r="H86" s="12" t="n">
        <v>0</v>
      </c>
      <c r="I86" s="12" t="n">
        <v>0</v>
      </c>
      <c r="J86" s="8">
        <f>F86+G86-H86-I86</f>
        <v/>
      </c>
      <c r="K86" s="12" t="n">
        <v>12</v>
      </c>
      <c r="L86" s="8">
        <f>IF(J86&lt;=0,"Rupture",IF(J86&lt;=K86,"Bas","OK"))</f>
        <v/>
      </c>
    </row>
    <row r="87">
      <c r="A87" s="8" t="n">
        <v>83</v>
      </c>
      <c r="B87" s="9" t="inlineStr">
        <is>
          <t>JB</t>
        </is>
      </c>
      <c r="C87" s="9" t="inlineStr">
        <is>
          <t>Wisky</t>
        </is>
      </c>
      <c r="D87" s="10" t="n">
        <v>7000</v>
      </c>
      <c r="E87" s="11">
        <f>D87</f>
        <v/>
      </c>
      <c r="F87" s="12" t="n">
        <v>0</v>
      </c>
      <c r="G87" s="12" t="n">
        <v>0</v>
      </c>
      <c r="H87" s="12" t="n">
        <v>0</v>
      </c>
      <c r="I87" s="12" t="n">
        <v>0</v>
      </c>
      <c r="J87" s="8">
        <f>F87+G87-H87-I87</f>
        <v/>
      </c>
      <c r="K87" s="12" t="n">
        <v>12</v>
      </c>
      <c r="L87" s="8">
        <f>IF(J87&lt;=0,"Rupture",IF(J87&lt;=K87,"Bas","OK"))</f>
        <v/>
      </c>
    </row>
    <row r="88">
      <c r="A88" s="8" t="n">
        <v>84</v>
      </c>
      <c r="B88" s="9" t="inlineStr">
        <is>
          <t>Lion diamond</t>
        </is>
      </c>
      <c r="C88" s="9" t="inlineStr">
        <is>
          <t>Wisky</t>
        </is>
      </c>
      <c r="D88" s="10" t="n">
        <v>3500</v>
      </c>
      <c r="E88" s="11">
        <f>D88</f>
        <v/>
      </c>
      <c r="F88" s="12" t="n">
        <v>0</v>
      </c>
      <c r="G88" s="12" t="n">
        <v>0</v>
      </c>
      <c r="H88" s="12" t="n">
        <v>0</v>
      </c>
      <c r="I88" s="12" t="n">
        <v>0</v>
      </c>
      <c r="J88" s="8">
        <f>F88+G88-H88-I88</f>
        <v/>
      </c>
      <c r="K88" s="12" t="n">
        <v>12</v>
      </c>
      <c r="L88" s="8">
        <f>IF(J88&lt;=0,"Rupture",IF(J88&lt;=K88,"Bas","OK"))</f>
        <v/>
      </c>
    </row>
    <row r="89">
      <c r="A89" s="8" t="n">
        <v>85</v>
      </c>
      <c r="B89" s="9" t="inlineStr">
        <is>
          <t>Bishop Oak's</t>
        </is>
      </c>
      <c r="C89" s="9" t="inlineStr">
        <is>
          <t>Wisky</t>
        </is>
      </c>
      <c r="D89" s="10" t="n">
        <v>3500</v>
      </c>
      <c r="E89" s="11">
        <f>D89</f>
        <v/>
      </c>
      <c r="F89" s="12" t="n">
        <v>0</v>
      </c>
      <c r="G89" s="12" t="n">
        <v>0</v>
      </c>
      <c r="H89" s="12" t="n">
        <v>0</v>
      </c>
      <c r="I89" s="12" t="n">
        <v>0</v>
      </c>
      <c r="J89" s="8">
        <f>F89+G89-H89-I89</f>
        <v/>
      </c>
      <c r="K89" s="12" t="n">
        <v>12</v>
      </c>
      <c r="L89" s="8">
        <f>IF(J89&lt;=0,"Rupture",IF(J89&lt;=K89,"Bas","OK"))</f>
        <v/>
      </c>
    </row>
    <row r="90">
      <c r="A90" s="8" t="n">
        <v>86</v>
      </c>
      <c r="B90" s="9" t="inlineStr">
        <is>
          <t>Royal circle</t>
        </is>
      </c>
      <c r="C90" s="9" t="inlineStr">
        <is>
          <t>Wisky</t>
        </is>
      </c>
      <c r="D90" s="10" t="n">
        <v>3500</v>
      </c>
      <c r="E90" s="11">
        <f>D90</f>
        <v/>
      </c>
      <c r="F90" s="12" t="n">
        <v>0</v>
      </c>
      <c r="G90" s="12" t="n">
        <v>0</v>
      </c>
      <c r="H90" s="12" t="n">
        <v>0</v>
      </c>
      <c r="I90" s="12" t="n">
        <v>0</v>
      </c>
      <c r="J90" s="8">
        <f>F90+G90-H90-I90</f>
        <v/>
      </c>
      <c r="K90" s="12" t="n">
        <v>12</v>
      </c>
      <c r="L90" s="8">
        <f>IF(J90&lt;=0,"Rupture",IF(J90&lt;=K90,"Bas","OK"))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24" customWidth="1" min="4" max="4"/>
    <col width="12" customWidth="1" min="5" max="5"/>
    <col width="26" customWidth="1" min="6" max="6"/>
  </cols>
  <sheetData>
    <row r="1">
      <c r="A1" s="5" t="inlineStr">
        <is>
          <t>Menu restauration</t>
        </is>
      </c>
    </row>
    <row r="2">
      <c r="A2" s="6" t="inlineStr">
        <is>
          <t>Les plats n'ont pas de prix fixe : le serveur saisit le prix à chaque commande. La colonne Photo reçoit le nom ou le lien de la photo du plat.</t>
        </is>
      </c>
    </row>
    <row r="4">
      <c r="A4" s="13" t="inlineStr">
        <is>
          <t>N°</t>
        </is>
      </c>
      <c r="B4" s="13" t="inlineStr">
        <is>
          <t>Plat</t>
        </is>
      </c>
      <c r="C4" s="13" t="inlineStr">
        <is>
          <t>Prix (à saisir)</t>
        </is>
      </c>
      <c r="D4" s="13" t="inlineStr">
        <is>
          <t>Photo (fichier / lien)</t>
        </is>
      </c>
      <c r="E4" s="13" t="inlineStr">
        <is>
          <t>Disponible</t>
        </is>
      </c>
      <c r="F4" s="13" t="inlineStr">
        <is>
          <t>Note</t>
        </is>
      </c>
    </row>
    <row r="5">
      <c r="A5" s="8" t="n">
        <v>1</v>
      </c>
      <c r="B5" s="9" t="inlineStr">
        <is>
          <t>Fufu</t>
        </is>
      </c>
      <c r="C5" s="14" t="n"/>
      <c r="D5" s="15" t="n"/>
      <c r="E5" s="8" t="inlineStr">
        <is>
          <t>Oui</t>
        </is>
      </c>
      <c r="F5" s="9" t="n"/>
    </row>
    <row r="6">
      <c r="A6" s="8" t="n">
        <v>2</v>
      </c>
      <c r="B6" s="9" t="inlineStr">
        <is>
          <t>Pâte</t>
        </is>
      </c>
      <c r="C6" s="14" t="n"/>
      <c r="D6" s="15" t="n"/>
      <c r="E6" s="8" t="inlineStr">
        <is>
          <t>Oui</t>
        </is>
      </c>
      <c r="F6" s="9" t="n"/>
    </row>
    <row r="7">
      <c r="A7" s="8" t="n">
        <v>3</v>
      </c>
      <c r="B7" s="9" t="inlineStr">
        <is>
          <t>Spaghetti</t>
        </is>
      </c>
      <c r="C7" s="14" t="n"/>
      <c r="D7" s="15" t="n"/>
      <c r="E7" s="8" t="inlineStr">
        <is>
          <t>Oui</t>
        </is>
      </c>
      <c r="F7" s="9" t="n"/>
    </row>
    <row r="8">
      <c r="A8" s="8" t="n">
        <v>4</v>
      </c>
      <c r="B8" s="9" t="inlineStr">
        <is>
          <t>Poisson braisé</t>
        </is>
      </c>
      <c r="C8" s="14" t="n"/>
      <c r="D8" s="15" t="n"/>
      <c r="E8" s="8" t="inlineStr">
        <is>
          <t>Oui</t>
        </is>
      </c>
      <c r="F8" s="9" t="n"/>
    </row>
    <row r="9">
      <c r="A9" s="8" t="n">
        <v>5</v>
      </c>
      <c r="B9" s="9" t="inlineStr">
        <is>
          <t>Poulet braisé</t>
        </is>
      </c>
      <c r="C9" s="14" t="n"/>
      <c r="D9" s="15" t="n"/>
      <c r="E9" s="8" t="inlineStr">
        <is>
          <t>Oui</t>
        </is>
      </c>
      <c r="F9" s="9" t="n"/>
    </row>
    <row r="10">
      <c r="A10" s="8" t="n">
        <v>6</v>
      </c>
      <c r="B10" s="9" t="inlineStr">
        <is>
          <t>Frite</t>
        </is>
      </c>
      <c r="C10" s="14" t="n"/>
      <c r="D10" s="15" t="n"/>
      <c r="E10" s="8" t="inlineStr">
        <is>
          <t>Oui</t>
        </is>
      </c>
      <c r="F10" s="9" t="n"/>
    </row>
    <row r="11">
      <c r="A11" s="8" t="n">
        <v>7</v>
      </c>
      <c r="B11" s="9" t="inlineStr">
        <is>
          <t>Alloco</t>
        </is>
      </c>
      <c r="C11" s="14" t="n"/>
      <c r="D11" s="15" t="n"/>
      <c r="E11" s="8" t="inlineStr">
        <is>
          <t>Oui</t>
        </is>
      </c>
      <c r="F11" s="9" t="n"/>
    </row>
    <row r="12">
      <c r="A12" s="8" t="n">
        <v>8</v>
      </c>
      <c r="B12" s="9" t="inlineStr">
        <is>
          <t>Attiéké</t>
        </is>
      </c>
      <c r="C12" s="14" t="n"/>
      <c r="D12" s="15" t="n"/>
      <c r="E12" s="8" t="inlineStr">
        <is>
          <t>Oui</t>
        </is>
      </c>
      <c r="F12" s="9" t="n"/>
    </row>
    <row r="13">
      <c r="A13" s="8" t="n">
        <v>9</v>
      </c>
      <c r="B13" s="9" t="inlineStr">
        <is>
          <t>Riz blanc</t>
        </is>
      </c>
      <c r="C13" s="14" t="n"/>
      <c r="D13" s="15" t="n"/>
      <c r="E13" s="8" t="inlineStr">
        <is>
          <t>Oui</t>
        </is>
      </c>
      <c r="F13" s="9" t="n"/>
    </row>
    <row r="14">
      <c r="A14" s="8" t="n">
        <v>10</v>
      </c>
      <c r="B14" s="9" t="inlineStr">
        <is>
          <t>Riz au gras</t>
        </is>
      </c>
      <c r="C14" s="14" t="n"/>
      <c r="D14" s="15" t="n"/>
      <c r="E14" s="8" t="inlineStr">
        <is>
          <t>Oui</t>
        </is>
      </c>
      <c r="F14" s="9" t="n"/>
    </row>
    <row r="15">
      <c r="A15" s="8" t="n">
        <v>11</v>
      </c>
      <c r="B15" s="9" t="inlineStr">
        <is>
          <t>Pomme sauté</t>
        </is>
      </c>
      <c r="C15" s="14" t="n"/>
      <c r="D15" s="15" t="n"/>
      <c r="E15" s="8" t="inlineStr">
        <is>
          <t>Oui</t>
        </is>
      </c>
      <c r="F15" s="9" t="n"/>
    </row>
    <row r="16">
      <c r="A16" s="8" t="n">
        <v>12</v>
      </c>
      <c r="B16" s="9" t="inlineStr">
        <is>
          <t>Khom</t>
        </is>
      </c>
      <c r="C16" s="14" t="n"/>
      <c r="D16" s="15" t="n"/>
      <c r="E16" s="8" t="inlineStr">
        <is>
          <t>Oui</t>
        </is>
      </c>
      <c r="F16" s="9" t="n"/>
    </row>
    <row r="17">
      <c r="A17" s="8" t="n">
        <v>13</v>
      </c>
      <c r="B17" s="9" t="inlineStr">
        <is>
          <t>Sifio</t>
        </is>
      </c>
      <c r="C17" s="14" t="n"/>
      <c r="D17" s="15" t="n"/>
      <c r="E17" s="8" t="inlineStr">
        <is>
          <t>Oui</t>
        </is>
      </c>
      <c r="F1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2026-07-22T12:13:05Z</dcterms:created>
  <dcterms:modified xmlns:dcterms="http://purl.org/dc/terms/" xmlns:xsi="http://www.w3.org/2001/XMLSchema-instance" xsi:type="dcterms:W3CDTF">2026-07-22T12:13:06Z</dcterms:modified>
</cp:coreProperties>
</file>